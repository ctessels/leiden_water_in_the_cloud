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lionx-my.sharepoint.com/personal/jspan_ilionx_com/Documents/03 Projects/05 - Gemeente Leiden/leiden_water_in_the_cloud/src/data/"/>
    </mc:Choice>
  </mc:AlternateContent>
  <xr:revisionPtr revIDLastSave="158" documentId="8_{9E107067-0BA0-5D49-9761-75EFF574958A}" xr6:coauthVersionLast="47" xr6:coauthVersionMax="47" xr10:uidLastSave="{CDB7DDCD-8C52-FE4C-BD6A-72601219DA4D}"/>
  <bookViews>
    <workbookView xWindow="19320" yWindow="-20940" windowWidth="38080" windowHeight="20780" xr2:uid="{00000000-000D-0000-FFFF-FFFF00000000}"/>
  </bookViews>
  <sheets>
    <sheet name="dim_sensor_fase_1" sheetId="1" r:id="rId1"/>
    <sheet name="dim_sensor_fase_2" sheetId="3" r:id="rId2"/>
    <sheet name="dim_sensor_fase_1 (back-up)" sheetId="2" r:id="rId3"/>
  </sheets>
  <definedNames>
    <definedName name="_xlnm._FilterDatabase" localSheetId="0" hidden="1">dim_sensor_fase_1!$G$1:$G$45</definedName>
    <definedName name="_xlnm._FilterDatabase" localSheetId="2" hidden="1">'dim_sensor_fase_1 (back-up)'!$A$1:$M$45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11" i="1"/>
  <c r="F10" i="1"/>
  <c r="F9" i="1"/>
  <c r="F8" i="1"/>
  <c r="F7" i="1"/>
  <c r="F6" i="1"/>
  <c r="F5" i="1"/>
  <c r="F4" i="1"/>
  <c r="F3" i="1"/>
  <c r="F2" i="1"/>
  <c r="F3" i="3"/>
  <c r="F4" i="3"/>
  <c r="F5" i="3"/>
  <c r="F6" i="3"/>
  <c r="F7" i="3"/>
  <c r="F8" i="3"/>
  <c r="F9" i="3"/>
  <c r="F10" i="3"/>
  <c r="F11" i="3"/>
  <c r="F2" i="3"/>
</calcChain>
</file>

<file path=xl/sharedStrings.xml><?xml version="1.0" encoding="utf-8"?>
<sst xmlns="http://schemas.openxmlformats.org/spreadsheetml/2006/main" count="874" uniqueCount="146">
  <si>
    <t>locatie</t>
  </si>
  <si>
    <t>device_name</t>
  </si>
  <si>
    <t>datum_geplaatst</t>
  </si>
  <si>
    <t>datum_weggehaald</t>
  </si>
  <si>
    <t>soort_plant</t>
  </si>
  <si>
    <t>leeftijd_plant</t>
  </si>
  <si>
    <t>diepte_plaatsing</t>
  </si>
  <si>
    <t>omgevingsfactoren</t>
  </si>
  <si>
    <t>locatie_regio</t>
  </si>
  <si>
    <t>old</t>
  </si>
  <si>
    <t>current_location</t>
  </si>
  <si>
    <t>device_name_org</t>
  </si>
  <si>
    <t>device_id</t>
  </si>
  <si>
    <t>Burggravenlaan (old)_15</t>
  </si>
  <si>
    <t>FF1 0-0004</t>
  </si>
  <si>
    <t>Plantenvak</t>
  </si>
  <si>
    <t>&gt; 1 jaar</t>
  </si>
  <si>
    <t>15 cm</t>
  </si>
  <si>
    <t>groen</t>
  </si>
  <si>
    <t>Binnenstad</t>
  </si>
  <si>
    <t>Yes</t>
  </si>
  <si>
    <t>No</t>
  </si>
  <si>
    <t>Vijf meilaan (2)_30</t>
  </si>
  <si>
    <t>0-1 jaar</t>
  </si>
  <si>
    <t>30 cm</t>
  </si>
  <si>
    <t>bestrating</t>
  </si>
  <si>
    <t>Zuid</t>
  </si>
  <si>
    <t>Beethovenpark_30</t>
  </si>
  <si>
    <t>FF1 0-0027</t>
  </si>
  <si>
    <t>Beethovenpark_15</t>
  </si>
  <si>
    <t>Ijselmeerlaan berm (old)_15</t>
  </si>
  <si>
    <t>Heesters</t>
  </si>
  <si>
    <t>Noord</t>
  </si>
  <si>
    <t>Ijselmeerlaan rotonde (old)_15</t>
  </si>
  <si>
    <t>FF2 0-0102</t>
  </si>
  <si>
    <t>Vijf meilaan (1)_15</t>
  </si>
  <si>
    <t>Boshuizerkade_30</t>
  </si>
  <si>
    <t>FF2 0-0131</t>
  </si>
  <si>
    <t>bebouwing</t>
  </si>
  <si>
    <t>Haven binnenstad_30</t>
  </si>
  <si>
    <t>FF2 0-0135</t>
  </si>
  <si>
    <t>Plant en boom</t>
  </si>
  <si>
    <t>Midden</t>
  </si>
  <si>
    <t>Haven binnenstad_15</t>
  </si>
  <si>
    <t>Niet geplaatst</t>
  </si>
  <si>
    <t>Tasmanpark (1)_15</t>
  </si>
  <si>
    <t>FF2 0-0136</t>
  </si>
  <si>
    <t>Tasmanpark (old)_15</t>
  </si>
  <si>
    <t>Ketelmeer rotonde (1)_15</t>
  </si>
  <si>
    <t>FF2 0-0137</t>
  </si>
  <si>
    <t>Veluwemeerlaan (old)_30</t>
  </si>
  <si>
    <t>Molen Lammermarkt_15</t>
  </si>
  <si>
    <t>FF2 0-0144</t>
  </si>
  <si>
    <t>Bachstraat (2)_15</t>
  </si>
  <si>
    <t>FF2 0-0147</t>
  </si>
  <si>
    <t>Lammenschansweg_30</t>
  </si>
  <si>
    <t>Bosplantsoen</t>
  </si>
  <si>
    <t>Bachstraat (1)_15</t>
  </si>
  <si>
    <t>FF2 0-0148</t>
  </si>
  <si>
    <t>Park hooghkamer_30</t>
  </si>
  <si>
    <t>Jacob van Campenlaan_15</t>
  </si>
  <si>
    <t>FF2 0-0171</t>
  </si>
  <si>
    <t>Polderpark_30</t>
  </si>
  <si>
    <t>Heintje Davids_30</t>
  </si>
  <si>
    <t>FF2 0-0172</t>
  </si>
  <si>
    <t>Ketelmeer rotonde (2)_30</t>
  </si>
  <si>
    <t>FF2 0-0173</t>
  </si>
  <si>
    <t>Leidse Hout schommel_30</t>
  </si>
  <si>
    <t>FF2 0-0174</t>
  </si>
  <si>
    <t>Stevenshof en de mors</t>
  </si>
  <si>
    <t>Zeemanlaan_15</t>
  </si>
  <si>
    <t>FF2 0-0176</t>
  </si>
  <si>
    <t>Nieuweroord_30</t>
  </si>
  <si>
    <t>FF2 0-0179</t>
  </si>
  <si>
    <t>Boom</t>
  </si>
  <si>
    <t>Nieuweroord (old)_30</t>
  </si>
  <si>
    <t>Beuk vismarkt_binnen_30</t>
  </si>
  <si>
    <t>FF2 0-0180</t>
  </si>
  <si>
    <t>Beuk vismarkt_buiten_30</t>
  </si>
  <si>
    <t>Moskee Zwijgerlaan_30</t>
  </si>
  <si>
    <t>FF2 0-0183</t>
  </si>
  <si>
    <t>Moskee Zwijgerlaan (1 old)_30</t>
  </si>
  <si>
    <t>Moskee Zwijgerlaan (2 old)_15</t>
  </si>
  <si>
    <t>Stevenspark_30</t>
  </si>
  <si>
    <t>FF2 0-0185</t>
  </si>
  <si>
    <t>West</t>
  </si>
  <si>
    <t>Van Swietenstraat_15</t>
  </si>
  <si>
    <t>Burggravenlaan_15</t>
  </si>
  <si>
    <t>FF2 0-0189</t>
  </si>
  <si>
    <t>FF2 0-0190</t>
  </si>
  <si>
    <t>Joram thuis (old)_30</t>
  </si>
  <si>
    <t>Utrecht</t>
  </si>
  <si>
    <t>Langegracht Politie_30</t>
  </si>
  <si>
    <t>FF2 0-0191</t>
  </si>
  <si>
    <t>Langegracht Politie_15</t>
  </si>
  <si>
    <t>Arendshorst_30</t>
  </si>
  <si>
    <t>FF2 0-0193</t>
  </si>
  <si>
    <t>Arendshorst (old)_30</t>
  </si>
  <si>
    <t>Lakenplein (old)_10</t>
  </si>
  <si>
    <t>NETA1.0-0030</t>
  </si>
  <si>
    <t>10 cm</t>
  </si>
  <si>
    <t>Tasmanpark (2)_15</t>
  </si>
  <si>
    <t>lat</t>
  </si>
  <si>
    <t>lon</t>
  </si>
  <si>
    <t>maps_link</t>
  </si>
  <si>
    <t>gabriel_metzusstraat</t>
  </si>
  <si>
    <t>ing_driessenstraat</t>
  </si>
  <si>
    <t>lelie_lindestraat</t>
  </si>
  <si>
    <t>marie_jungiusstraat</t>
  </si>
  <si>
    <t>nelson_mandelapad</t>
  </si>
  <si>
    <t>opstandingskerk</t>
  </si>
  <si>
    <t>park_de_put</t>
  </si>
  <si>
    <t>van_de_paauwkade</t>
  </si>
  <si>
    <t>wijnbes</t>
  </si>
  <si>
    <t>zuid_runderssteeg</t>
  </si>
  <si>
    <t>52,17184864238036</t>
  </si>
  <si>
    <t>4,491621851921082</t>
  </si>
  <si>
    <t>52,15939090039548</t>
  </si>
  <si>
    <t>4,499016702175141</t>
  </si>
  <si>
    <t>52,15185886689011</t>
  </si>
  <si>
    <t>4,491552114486695</t>
  </si>
  <si>
    <t>52,14727171823178</t>
  </si>
  <si>
    <t>4,446818232536317</t>
  </si>
  <si>
    <t>52,15940199412685</t>
  </si>
  <si>
    <t>4,4511714577674875</t>
  </si>
  <si>
    <t>52,143043108582724</t>
  </si>
  <si>
    <t>4,477859437465669</t>
  </si>
  <si>
    <t>52,16178157625613</t>
  </si>
  <si>
    <t>4,4823575019836435</t>
  </si>
  <si>
    <t>52,166002807050205</t>
  </si>
  <si>
    <t>4,495401084423066</t>
  </si>
  <si>
    <t>52,17853619213568</t>
  </si>
  <si>
    <t>4,497281312942506</t>
  </si>
  <si>
    <t>52,16103454824992</t>
  </si>
  <si>
    <t>4,492775201797486</t>
  </si>
  <si>
    <t>coordinaat</t>
  </si>
  <si>
    <t>https://maps.app.goo.gl/xmgrXJTUifFKrq2j8</t>
  </si>
  <si>
    <t>https://maps.app.goo.gl/qo1ko6xSo6hn21Mc6</t>
  </si>
  <si>
    <t>https://maps.app.goo.gl/zP4qmuEKQbEdqvC27</t>
  </si>
  <si>
    <t>https://maps.app.goo.gl/fbnmx6CoBfoa6sj79</t>
  </si>
  <si>
    <t>https://maps.app.goo.gl/DP8GbZH3hrewiNxP7</t>
  </si>
  <si>
    <t>https://maps.app.goo.gl/Bj4V8EPd4FMDGUxX8</t>
  </si>
  <si>
    <t>https://maps.app.goo.gl/RkHjYYGXp55msUYu7</t>
  </si>
  <si>
    <t>https://maps.app.goo.gl/HqMpwnCtmifjt3Sj9</t>
  </si>
  <si>
    <t>https://maps.app.goo.gl/LGbne8qBdSKCRQfS8</t>
  </si>
  <si>
    <t>https://maps.app.goo.gl/EVy9Mv9AjJiyo3wHA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</si>
</sst>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4" fontId="0" fillId="2" borderId="0" xfId="0" applyNumberFormat="1" applyFill="1"/>
    <xf numFmtId="0" fontId="0" fillId="2" borderId="0" xfId="0" applyFill="1"/>
    <xf numFmtId="0" fontId="0" fillId="0" borderId="1" xfId="0" applyBorder="1"/>
    <xf numFmtId="0" fontId="0" fillId="3" borderId="1" xfId="0" applyFill="1" applyBorder="1"/>
    <xf numFmtId="164" fontId="0" fillId="3" borderId="1" xfId="0" applyNumberFormat="1" applyFill="1" applyBorder="1"/>
    <xf numFmtId="49" fontId="1" fillId="0" borderId="1" xfId="0" applyNumberFormat="1" applyFont="1" applyBorder="1" applyAlignment="1">
      <alignment horizontal="center" vertical="top"/>
    </xf>
    <xf numFmtId="49" fontId="0" fillId="0" borderId="1" xfId="0" applyNumberFormat="1" applyBorder="1"/>
    <xf numFmtId="49" fontId="0" fillId="0" borderId="0" xfId="0" applyNumberFormat="1"/>
    <xf numFmtId="0" fontId="3" fillId="0" borderId="1" xfId="1" applyBorder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HqMpwnCtmifjt3Sj9" TargetMode="External"/><Relationship Id="rId3" Type="http://schemas.openxmlformats.org/officeDocument/2006/relationships/hyperlink" Target="https://maps.app.goo.gl/zP4qmuEKQbEdqvC27" TargetMode="External"/><Relationship Id="rId7" Type="http://schemas.openxmlformats.org/officeDocument/2006/relationships/hyperlink" Target="https://maps.app.goo.gl/RkHjYYGXp55msUYu7" TargetMode="External"/><Relationship Id="rId2" Type="http://schemas.openxmlformats.org/officeDocument/2006/relationships/hyperlink" Target="https://maps.app.goo.gl/qo1ko6xSo6hn21Mc6" TargetMode="External"/><Relationship Id="rId1" Type="http://schemas.openxmlformats.org/officeDocument/2006/relationships/hyperlink" Target="https://maps.app.goo.gl/xmgrXJTUifFKrq2j8" TargetMode="External"/><Relationship Id="rId6" Type="http://schemas.openxmlformats.org/officeDocument/2006/relationships/hyperlink" Target="https://maps.app.goo.gl/Bj4V8EPd4FMDGUxX8" TargetMode="External"/><Relationship Id="rId5" Type="http://schemas.openxmlformats.org/officeDocument/2006/relationships/hyperlink" Target="https://maps.app.goo.gl/DP8GbZH3hrewiNxP7" TargetMode="External"/><Relationship Id="rId10" Type="http://schemas.openxmlformats.org/officeDocument/2006/relationships/hyperlink" Target="https://maps.app.goo.gl/EVy9Mv9AjJiyo3wHA" TargetMode="External"/><Relationship Id="rId4" Type="http://schemas.openxmlformats.org/officeDocument/2006/relationships/hyperlink" Target="https://maps.app.goo.gl/fbnmx6CoBfoa6sj79" TargetMode="External"/><Relationship Id="rId9" Type="http://schemas.openxmlformats.org/officeDocument/2006/relationships/hyperlink" Target="https://maps.app.goo.gl/LGbne8qBdSKCRQfS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workbookViewId="0">
      <selection activeCell="D2" sqref="D2"/>
    </sheetView>
  </sheetViews>
  <sheetFormatPr baseColWidth="10" defaultColWidth="8.83203125" defaultRowHeight="15" x14ac:dyDescent="0.2"/>
  <cols>
    <col min="1" max="1" width="28.33203125" bestFit="1" customWidth="1"/>
    <col min="2" max="2" width="12.6640625" bestFit="1" customWidth="1"/>
    <col min="3" max="3" width="10.83203125" customWidth="1"/>
    <col min="6" max="6" width="36.5" customWidth="1"/>
    <col min="7" max="7" width="18.1640625" bestFit="1" customWidth="1"/>
    <col min="8" max="8" width="18.33203125" bestFit="1" customWidth="1"/>
    <col min="9" max="9" width="13.5" bestFit="1" customWidth="1"/>
    <col min="10" max="10" width="12.83203125" bestFit="1" customWidth="1"/>
    <col min="11" max="11" width="15.5" bestFit="1" customWidth="1"/>
    <col min="12" max="12" width="18.6640625" customWidth="1"/>
    <col min="13" max="13" width="21.1640625" bestFit="1" customWidth="1"/>
    <col min="14" max="14" width="12.6640625" customWidth="1"/>
  </cols>
  <sheetData>
    <row r="1" spans="1:14" x14ac:dyDescent="0.2">
      <c r="A1" s="1" t="s">
        <v>0</v>
      </c>
      <c r="B1" s="1" t="s">
        <v>1</v>
      </c>
      <c r="C1" s="1" t="s">
        <v>12</v>
      </c>
      <c r="D1" s="1" t="s">
        <v>102</v>
      </c>
      <c r="E1" s="1" t="s">
        <v>103</v>
      </c>
      <c r="F1" s="1" t="s">
        <v>135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4" x14ac:dyDescent="0.2">
      <c r="A2" s="6" t="s">
        <v>13</v>
      </c>
      <c r="B2" s="6" t="s">
        <v>14</v>
      </c>
      <c r="C2" s="6">
        <v>93</v>
      </c>
      <c r="D2" s="5"/>
      <c r="E2" s="5"/>
      <c r="F2" s="5" t="str">
        <f xml:space="preserve"> "(" &amp; SUBSTITUTE(D2, ",", ".") &amp; ", " &amp; SUBSTITUTE(E2, ",", ".") &amp; ")"</f>
        <v>(, )</v>
      </c>
      <c r="G2" s="7">
        <v>44589</v>
      </c>
      <c r="H2" s="7">
        <v>45070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</row>
    <row r="3" spans="1:14" x14ac:dyDescent="0.2">
      <c r="A3" s="6" t="s">
        <v>22</v>
      </c>
      <c r="B3" s="6" t="s">
        <v>14</v>
      </c>
      <c r="C3" s="6">
        <v>93</v>
      </c>
      <c r="D3" s="5"/>
      <c r="E3" s="5"/>
      <c r="F3" s="5" t="str">
        <f t="shared" ref="F3:F45" si="0" xml:space="preserve"> "(" &amp; SUBSTITUTE(D3, ",", ".") &amp; ", " &amp; SUBSTITUTE(E3, ",", ".") &amp; ")"</f>
        <v>(, )</v>
      </c>
      <c r="G3" s="7">
        <v>45111</v>
      </c>
      <c r="H3" s="7">
        <v>132320</v>
      </c>
      <c r="I3" s="6" t="s">
        <v>15</v>
      </c>
      <c r="J3" s="6" t="s">
        <v>23</v>
      </c>
      <c r="K3" s="6" t="s">
        <v>24</v>
      </c>
      <c r="L3" s="6" t="s">
        <v>25</v>
      </c>
      <c r="M3" s="6" t="s">
        <v>26</v>
      </c>
      <c r="N3" s="6" t="s">
        <v>20</v>
      </c>
    </row>
    <row r="4" spans="1:14" x14ac:dyDescent="0.2">
      <c r="A4" s="6" t="s">
        <v>27</v>
      </c>
      <c r="B4" s="6" t="s">
        <v>28</v>
      </c>
      <c r="C4" s="6">
        <v>54</v>
      </c>
      <c r="D4" s="5"/>
      <c r="E4" s="5"/>
      <c r="F4" s="5" t="str">
        <f t="shared" si="0"/>
        <v>(, )</v>
      </c>
      <c r="G4" s="7">
        <v>45111</v>
      </c>
      <c r="H4" s="7">
        <v>45145</v>
      </c>
      <c r="I4" s="6" t="s">
        <v>15</v>
      </c>
      <c r="J4" s="6" t="s">
        <v>23</v>
      </c>
      <c r="K4" s="6" t="s">
        <v>24</v>
      </c>
      <c r="L4" s="6" t="s">
        <v>18</v>
      </c>
      <c r="M4" s="6" t="s">
        <v>26</v>
      </c>
      <c r="N4" s="6" t="s">
        <v>20</v>
      </c>
    </row>
    <row r="5" spans="1:14" x14ac:dyDescent="0.2">
      <c r="A5" s="6" t="s">
        <v>29</v>
      </c>
      <c r="B5" s="6" t="s">
        <v>28</v>
      </c>
      <c r="C5" s="6">
        <v>54</v>
      </c>
      <c r="D5" s="5"/>
      <c r="E5" s="5"/>
      <c r="F5" s="5" t="str">
        <f t="shared" si="0"/>
        <v>(, )</v>
      </c>
      <c r="G5" s="7">
        <v>45145</v>
      </c>
      <c r="H5" s="7">
        <v>132320</v>
      </c>
      <c r="I5" s="6" t="s">
        <v>15</v>
      </c>
      <c r="J5" s="6" t="s">
        <v>23</v>
      </c>
      <c r="K5" s="6" t="s">
        <v>17</v>
      </c>
      <c r="L5" s="6" t="s">
        <v>18</v>
      </c>
      <c r="M5" s="6" t="s">
        <v>26</v>
      </c>
      <c r="N5" s="6" t="s">
        <v>20</v>
      </c>
    </row>
    <row r="6" spans="1:14" x14ac:dyDescent="0.2">
      <c r="A6" s="6" t="s">
        <v>30</v>
      </c>
      <c r="B6" s="6" t="s">
        <v>28</v>
      </c>
      <c r="C6" s="6">
        <v>54</v>
      </c>
      <c r="D6" s="5"/>
      <c r="E6" s="5"/>
      <c r="F6" s="5" t="str">
        <f t="shared" si="0"/>
        <v>(, )</v>
      </c>
      <c r="G6" s="7">
        <v>44589</v>
      </c>
      <c r="H6" s="7">
        <v>45047</v>
      </c>
      <c r="I6" s="6" t="s">
        <v>31</v>
      </c>
      <c r="J6" s="6" t="s">
        <v>16</v>
      </c>
      <c r="K6" s="6" t="s">
        <v>17</v>
      </c>
      <c r="L6" s="6" t="s">
        <v>25</v>
      </c>
      <c r="M6" s="6" t="s">
        <v>32</v>
      </c>
      <c r="N6" s="6" t="s">
        <v>20</v>
      </c>
    </row>
    <row r="7" spans="1:14" x14ac:dyDescent="0.2">
      <c r="A7" s="6" t="s">
        <v>33</v>
      </c>
      <c r="B7" s="6" t="s">
        <v>34</v>
      </c>
      <c r="C7" s="6">
        <v>208</v>
      </c>
      <c r="D7" s="5"/>
      <c r="E7" s="5"/>
      <c r="F7" s="5" t="str">
        <f t="shared" si="0"/>
        <v>(, )</v>
      </c>
      <c r="G7" s="7">
        <v>44594</v>
      </c>
      <c r="H7" s="7">
        <v>45047</v>
      </c>
      <c r="I7" s="6" t="s">
        <v>15</v>
      </c>
      <c r="J7" s="6" t="s">
        <v>16</v>
      </c>
      <c r="K7" s="6" t="s">
        <v>17</v>
      </c>
      <c r="L7" s="6" t="s">
        <v>25</v>
      </c>
      <c r="M7" s="6" t="s">
        <v>32</v>
      </c>
      <c r="N7" s="6" t="s">
        <v>20</v>
      </c>
    </row>
    <row r="8" spans="1:14" x14ac:dyDescent="0.2">
      <c r="A8" s="6" t="s">
        <v>35</v>
      </c>
      <c r="B8" s="6" t="s">
        <v>34</v>
      </c>
      <c r="C8" s="6">
        <v>208</v>
      </c>
      <c r="D8" s="5"/>
      <c r="E8" s="5"/>
      <c r="F8" s="5" t="str">
        <f t="shared" si="0"/>
        <v>(, )</v>
      </c>
      <c r="G8" s="7">
        <v>45120</v>
      </c>
      <c r="H8" s="7">
        <v>45393</v>
      </c>
      <c r="I8" s="6" t="s">
        <v>15</v>
      </c>
      <c r="J8" s="6" t="s">
        <v>23</v>
      </c>
      <c r="K8" s="6" t="s">
        <v>17</v>
      </c>
      <c r="L8" s="6" t="s">
        <v>25</v>
      </c>
      <c r="M8" s="6" t="s">
        <v>26</v>
      </c>
      <c r="N8" s="6" t="s">
        <v>20</v>
      </c>
    </row>
    <row r="9" spans="1:14" x14ac:dyDescent="0.2">
      <c r="A9" s="6" t="s">
        <v>36</v>
      </c>
      <c r="B9" s="6" t="s">
        <v>37</v>
      </c>
      <c r="C9" s="6">
        <v>356</v>
      </c>
      <c r="D9" s="5"/>
      <c r="E9" s="5"/>
      <c r="F9" s="5" t="str">
        <f t="shared" si="0"/>
        <v>(, )</v>
      </c>
      <c r="G9" s="7">
        <v>45111</v>
      </c>
      <c r="H9" s="7">
        <v>132320</v>
      </c>
      <c r="I9" s="6" t="s">
        <v>15</v>
      </c>
      <c r="J9" s="6" t="s">
        <v>23</v>
      </c>
      <c r="K9" s="6" t="s">
        <v>24</v>
      </c>
      <c r="L9" s="6" t="s">
        <v>38</v>
      </c>
      <c r="M9" s="6" t="s">
        <v>26</v>
      </c>
      <c r="N9" s="6" t="s">
        <v>21</v>
      </c>
    </row>
    <row r="10" spans="1:14" x14ac:dyDescent="0.2">
      <c r="A10" s="6" t="s">
        <v>39</v>
      </c>
      <c r="B10" s="6" t="s">
        <v>40</v>
      </c>
      <c r="C10" s="6">
        <v>360</v>
      </c>
      <c r="D10" s="5"/>
      <c r="E10" s="5"/>
      <c r="F10" s="5" t="str">
        <f t="shared" si="0"/>
        <v>(, )</v>
      </c>
      <c r="G10" s="7">
        <v>45111</v>
      </c>
      <c r="H10" s="7">
        <v>45140</v>
      </c>
      <c r="I10" s="6" t="s">
        <v>41</v>
      </c>
      <c r="J10" s="6" t="s">
        <v>16</v>
      </c>
      <c r="K10" s="6" t="s">
        <v>24</v>
      </c>
      <c r="L10" s="6" t="s">
        <v>38</v>
      </c>
      <c r="M10" s="6" t="s">
        <v>42</v>
      </c>
      <c r="N10" s="6" t="s">
        <v>20</v>
      </c>
    </row>
    <row r="11" spans="1:14" x14ac:dyDescent="0.2">
      <c r="A11" s="6" t="s">
        <v>43</v>
      </c>
      <c r="B11" s="6" t="s">
        <v>40</v>
      </c>
      <c r="C11" s="6">
        <v>360</v>
      </c>
      <c r="D11" s="5"/>
      <c r="E11" s="5"/>
      <c r="F11" s="5" t="str">
        <f t="shared" si="0"/>
        <v>(, )</v>
      </c>
      <c r="G11" s="7">
        <v>45140</v>
      </c>
      <c r="H11" s="7">
        <v>45788</v>
      </c>
      <c r="I11" s="6" t="s">
        <v>41</v>
      </c>
      <c r="J11" s="6" t="s">
        <v>16</v>
      </c>
      <c r="K11" s="6" t="s">
        <v>17</v>
      </c>
      <c r="L11" s="6" t="s">
        <v>38</v>
      </c>
      <c r="M11" s="6" t="s">
        <v>42</v>
      </c>
      <c r="N11" s="6" t="s">
        <v>20</v>
      </c>
    </row>
    <row r="12" spans="1:14" x14ac:dyDescent="0.2">
      <c r="A12" s="6" t="s">
        <v>44</v>
      </c>
      <c r="B12" s="6" t="s">
        <v>40</v>
      </c>
      <c r="C12" s="6">
        <v>360</v>
      </c>
      <c r="D12" s="5"/>
      <c r="E12" s="5"/>
      <c r="F12" s="5" t="str">
        <f t="shared" si="0"/>
        <v>(, )</v>
      </c>
      <c r="G12" s="7">
        <v>45799</v>
      </c>
      <c r="H12" s="7">
        <v>132321</v>
      </c>
      <c r="I12" s="6" t="s">
        <v>41</v>
      </c>
      <c r="J12" s="6" t="s">
        <v>16</v>
      </c>
      <c r="K12" s="6" t="s">
        <v>17</v>
      </c>
      <c r="L12" s="6" t="s">
        <v>38</v>
      </c>
      <c r="M12" s="6" t="s">
        <v>42</v>
      </c>
      <c r="N12" s="6" t="s">
        <v>21</v>
      </c>
    </row>
    <row r="13" spans="1:14" x14ac:dyDescent="0.2">
      <c r="A13" s="6" t="s">
        <v>45</v>
      </c>
      <c r="B13" s="6" t="s">
        <v>46</v>
      </c>
      <c r="C13" s="6">
        <v>361</v>
      </c>
      <c r="D13" s="5"/>
      <c r="E13" s="5"/>
      <c r="F13" s="5" t="str">
        <f t="shared" si="0"/>
        <v>(, )</v>
      </c>
      <c r="G13" s="7">
        <v>45111</v>
      </c>
      <c r="H13" s="7">
        <v>132320</v>
      </c>
      <c r="I13" s="6" t="s">
        <v>41</v>
      </c>
      <c r="J13" s="6" t="s">
        <v>16</v>
      </c>
      <c r="K13" s="6" t="s">
        <v>17</v>
      </c>
      <c r="L13" s="6" t="s">
        <v>18</v>
      </c>
      <c r="M13" s="6" t="s">
        <v>19</v>
      </c>
      <c r="N13" s="6" t="s">
        <v>21</v>
      </c>
    </row>
    <row r="14" spans="1:14" x14ac:dyDescent="0.2">
      <c r="A14" s="6" t="s">
        <v>47</v>
      </c>
      <c r="B14" s="6" t="s">
        <v>46</v>
      </c>
      <c r="C14" s="6">
        <v>361</v>
      </c>
      <c r="D14" s="5"/>
      <c r="E14" s="5"/>
      <c r="F14" s="5" t="str">
        <f t="shared" si="0"/>
        <v>(, )</v>
      </c>
      <c r="G14" s="7">
        <v>45069</v>
      </c>
      <c r="H14" s="7">
        <v>45111</v>
      </c>
      <c r="I14" s="6" t="s">
        <v>41</v>
      </c>
      <c r="J14" s="6" t="s">
        <v>16</v>
      </c>
      <c r="K14" s="6" t="s">
        <v>17</v>
      </c>
      <c r="L14" s="6" t="s">
        <v>18</v>
      </c>
      <c r="M14" s="6" t="s">
        <v>19</v>
      </c>
      <c r="N14" s="6" t="s">
        <v>20</v>
      </c>
    </row>
    <row r="15" spans="1:14" x14ac:dyDescent="0.2">
      <c r="A15" s="6" t="s">
        <v>48</v>
      </c>
      <c r="B15" s="6" t="s">
        <v>49</v>
      </c>
      <c r="C15" s="6">
        <v>362</v>
      </c>
      <c r="D15" s="5"/>
      <c r="E15" s="5"/>
      <c r="F15" s="5" t="str">
        <f t="shared" si="0"/>
        <v>(, )</v>
      </c>
      <c r="G15" s="7">
        <v>45111</v>
      </c>
      <c r="H15" s="7">
        <v>45393</v>
      </c>
      <c r="I15" s="6" t="s">
        <v>15</v>
      </c>
      <c r="J15" s="6" t="s">
        <v>16</v>
      </c>
      <c r="K15" s="6" t="s">
        <v>17</v>
      </c>
      <c r="L15" s="6" t="s">
        <v>25</v>
      </c>
      <c r="M15" s="6" t="s">
        <v>32</v>
      </c>
      <c r="N15" s="6" t="s">
        <v>20</v>
      </c>
    </row>
    <row r="16" spans="1:14" x14ac:dyDescent="0.2">
      <c r="A16" s="6" t="s">
        <v>50</v>
      </c>
      <c r="B16" s="6" t="s">
        <v>49</v>
      </c>
      <c r="C16" s="6">
        <v>362</v>
      </c>
      <c r="D16" s="5"/>
      <c r="E16" s="5"/>
      <c r="F16" s="5" t="str">
        <f t="shared" si="0"/>
        <v>(, )</v>
      </c>
      <c r="G16" s="7">
        <v>45111</v>
      </c>
      <c r="H16" s="7">
        <v>45111</v>
      </c>
      <c r="I16" s="6" t="s">
        <v>31</v>
      </c>
      <c r="J16" s="6" t="s">
        <v>16</v>
      </c>
      <c r="K16" s="6" t="s">
        <v>24</v>
      </c>
      <c r="L16" s="6" t="s">
        <v>18</v>
      </c>
      <c r="M16" s="6" t="s">
        <v>32</v>
      </c>
      <c r="N16" s="6" t="s">
        <v>20</v>
      </c>
    </row>
    <row r="17" spans="1:14" x14ac:dyDescent="0.2">
      <c r="A17" s="6" t="s">
        <v>51</v>
      </c>
      <c r="B17" s="6" t="s">
        <v>52</v>
      </c>
      <c r="C17" s="6">
        <v>369</v>
      </c>
      <c r="D17" s="5"/>
      <c r="E17" s="5"/>
      <c r="F17" s="5" t="str">
        <f t="shared" si="0"/>
        <v>(, )</v>
      </c>
      <c r="G17" s="7">
        <v>45111</v>
      </c>
      <c r="H17" s="7">
        <v>132320</v>
      </c>
      <c r="I17" s="6" t="s">
        <v>15</v>
      </c>
      <c r="J17" s="6" t="s">
        <v>16</v>
      </c>
      <c r="K17" s="6" t="s">
        <v>17</v>
      </c>
      <c r="L17" s="6" t="s">
        <v>38</v>
      </c>
      <c r="M17" s="6" t="s">
        <v>19</v>
      </c>
      <c r="N17" s="6" t="s">
        <v>21</v>
      </c>
    </row>
    <row r="18" spans="1:14" x14ac:dyDescent="0.2">
      <c r="A18" s="6" t="s">
        <v>53</v>
      </c>
      <c r="B18" s="6" t="s">
        <v>54</v>
      </c>
      <c r="C18" s="6">
        <v>395</v>
      </c>
      <c r="D18" s="5"/>
      <c r="E18" s="5"/>
      <c r="F18" s="5" t="str">
        <f t="shared" si="0"/>
        <v>(, )</v>
      </c>
      <c r="G18" s="7">
        <v>45145</v>
      </c>
      <c r="H18" s="7">
        <v>132320</v>
      </c>
      <c r="I18" s="6" t="s">
        <v>15</v>
      </c>
      <c r="J18" s="6" t="s">
        <v>23</v>
      </c>
      <c r="K18" s="6" t="s">
        <v>17</v>
      </c>
      <c r="L18" s="6" t="s">
        <v>38</v>
      </c>
      <c r="M18" s="6" t="s">
        <v>26</v>
      </c>
      <c r="N18" s="6" t="s">
        <v>21</v>
      </c>
    </row>
    <row r="19" spans="1:14" x14ac:dyDescent="0.2">
      <c r="A19" s="6" t="s">
        <v>55</v>
      </c>
      <c r="B19" s="6" t="s">
        <v>54</v>
      </c>
      <c r="C19" s="6">
        <v>395</v>
      </c>
      <c r="D19" s="5"/>
      <c r="E19" s="5"/>
      <c r="F19" s="5" t="str">
        <f t="shared" si="0"/>
        <v>(, )</v>
      </c>
      <c r="G19" s="7">
        <v>45111</v>
      </c>
      <c r="H19" s="7">
        <v>45145</v>
      </c>
      <c r="I19" s="6" t="s">
        <v>56</v>
      </c>
      <c r="J19" s="6" t="s">
        <v>16</v>
      </c>
      <c r="K19" s="6" t="s">
        <v>24</v>
      </c>
      <c r="L19" s="6" t="s">
        <v>25</v>
      </c>
      <c r="M19" s="6" t="s">
        <v>26</v>
      </c>
      <c r="N19" s="6" t="s">
        <v>20</v>
      </c>
    </row>
    <row r="20" spans="1:14" x14ac:dyDescent="0.2">
      <c r="A20" s="6" t="s">
        <v>57</v>
      </c>
      <c r="B20" s="6" t="s">
        <v>58</v>
      </c>
      <c r="C20" s="6">
        <v>372</v>
      </c>
      <c r="D20" s="5"/>
      <c r="E20" s="5"/>
      <c r="F20" s="5" t="str">
        <f t="shared" si="0"/>
        <v>(, )</v>
      </c>
      <c r="G20" s="7">
        <v>45145</v>
      </c>
      <c r="H20" s="7">
        <v>132320</v>
      </c>
      <c r="I20" s="6" t="s">
        <v>15</v>
      </c>
      <c r="J20" s="6" t="s">
        <v>23</v>
      </c>
      <c r="K20" s="6" t="s">
        <v>17</v>
      </c>
      <c r="L20" s="6" t="s">
        <v>38</v>
      </c>
      <c r="M20" s="6" t="s">
        <v>26</v>
      </c>
      <c r="N20" s="6" t="s">
        <v>21</v>
      </c>
    </row>
    <row r="21" spans="1:14" x14ac:dyDescent="0.2">
      <c r="A21" s="6" t="s">
        <v>59</v>
      </c>
      <c r="B21" s="6" t="s">
        <v>58</v>
      </c>
      <c r="C21" s="6">
        <v>372</v>
      </c>
      <c r="D21" s="5"/>
      <c r="E21" s="5"/>
      <c r="F21" s="5" t="str">
        <f t="shared" si="0"/>
        <v>(, )</v>
      </c>
      <c r="G21" s="7">
        <v>45111</v>
      </c>
      <c r="H21" s="7">
        <v>45145</v>
      </c>
      <c r="I21" s="6" t="s">
        <v>56</v>
      </c>
      <c r="J21" s="6" t="s">
        <v>16</v>
      </c>
      <c r="K21" s="6" t="s">
        <v>24</v>
      </c>
      <c r="L21" s="6" t="s">
        <v>18</v>
      </c>
      <c r="M21" s="6" t="s">
        <v>26</v>
      </c>
      <c r="N21" s="6" t="s">
        <v>20</v>
      </c>
    </row>
    <row r="22" spans="1:14" x14ac:dyDescent="0.2">
      <c r="A22" s="6" t="s">
        <v>60</v>
      </c>
      <c r="B22" s="6" t="s">
        <v>61</v>
      </c>
      <c r="C22" s="6">
        <v>400</v>
      </c>
      <c r="D22" s="5"/>
      <c r="E22" s="5"/>
      <c r="F22" s="5" t="str">
        <f t="shared" si="0"/>
        <v>(, )</v>
      </c>
      <c r="G22" s="7">
        <v>45145</v>
      </c>
      <c r="H22" s="7">
        <v>45393</v>
      </c>
      <c r="I22" s="6" t="s">
        <v>15</v>
      </c>
      <c r="J22" s="6" t="s">
        <v>23</v>
      </c>
      <c r="K22" s="6" t="s">
        <v>17</v>
      </c>
      <c r="L22" s="6" t="s">
        <v>38</v>
      </c>
      <c r="M22" s="6" t="s">
        <v>26</v>
      </c>
      <c r="N22" s="6" t="s">
        <v>20</v>
      </c>
    </row>
    <row r="23" spans="1:14" x14ac:dyDescent="0.2">
      <c r="A23" s="6" t="s">
        <v>62</v>
      </c>
      <c r="B23" s="6" t="s">
        <v>61</v>
      </c>
      <c r="C23" s="6">
        <v>400</v>
      </c>
      <c r="D23" s="5"/>
      <c r="E23" s="5"/>
      <c r="F23" s="5" t="str">
        <f t="shared" si="0"/>
        <v>(, )</v>
      </c>
      <c r="G23" s="7">
        <v>45111</v>
      </c>
      <c r="H23" s="7">
        <v>45145</v>
      </c>
      <c r="I23" s="6" t="s">
        <v>56</v>
      </c>
      <c r="J23" s="6" t="s">
        <v>16</v>
      </c>
      <c r="K23" s="6" t="s">
        <v>24</v>
      </c>
      <c r="L23" s="6" t="s">
        <v>18</v>
      </c>
      <c r="M23" s="6" t="s">
        <v>26</v>
      </c>
      <c r="N23" s="6" t="s">
        <v>20</v>
      </c>
    </row>
    <row r="24" spans="1:14" x14ac:dyDescent="0.2">
      <c r="A24" s="6" t="s">
        <v>63</v>
      </c>
      <c r="B24" s="6" t="s">
        <v>64</v>
      </c>
      <c r="C24" s="6">
        <v>401</v>
      </c>
      <c r="D24" s="5"/>
      <c r="E24" s="5"/>
      <c r="F24" s="5" t="str">
        <f t="shared" si="0"/>
        <v>(, )</v>
      </c>
      <c r="G24" s="7">
        <v>45111</v>
      </c>
      <c r="H24" s="7">
        <v>45393</v>
      </c>
      <c r="I24" s="6" t="s">
        <v>15</v>
      </c>
      <c r="J24" s="6" t="s">
        <v>16</v>
      </c>
      <c r="K24" s="6" t="s">
        <v>24</v>
      </c>
      <c r="L24" s="6" t="s">
        <v>38</v>
      </c>
      <c r="M24" s="6" t="s">
        <v>26</v>
      </c>
      <c r="N24" s="6" t="s">
        <v>20</v>
      </c>
    </row>
    <row r="25" spans="1:14" x14ac:dyDescent="0.2">
      <c r="A25" s="6" t="s">
        <v>65</v>
      </c>
      <c r="B25" s="6" t="s">
        <v>66</v>
      </c>
      <c r="C25" s="6">
        <v>396</v>
      </c>
      <c r="D25" s="5"/>
      <c r="E25" s="5"/>
      <c r="F25" s="5" t="str">
        <f t="shared" si="0"/>
        <v>(, )</v>
      </c>
      <c r="G25" s="7">
        <v>45111</v>
      </c>
      <c r="H25" s="7">
        <v>45393</v>
      </c>
      <c r="I25" s="6" t="s">
        <v>15</v>
      </c>
      <c r="J25" s="6" t="s">
        <v>16</v>
      </c>
      <c r="K25" s="6" t="s">
        <v>24</v>
      </c>
      <c r="L25" s="6" t="s">
        <v>25</v>
      </c>
      <c r="M25" s="6" t="s">
        <v>32</v>
      </c>
      <c r="N25" s="6" t="s">
        <v>20</v>
      </c>
    </row>
    <row r="26" spans="1:14" x14ac:dyDescent="0.2">
      <c r="A26" s="6" t="s">
        <v>67</v>
      </c>
      <c r="B26" s="6" t="s">
        <v>68</v>
      </c>
      <c r="C26" s="6">
        <v>397</v>
      </c>
      <c r="D26" s="5"/>
      <c r="E26" s="5"/>
      <c r="F26" s="5" t="str">
        <f t="shared" si="0"/>
        <v>(, )</v>
      </c>
      <c r="G26" s="7">
        <v>45111</v>
      </c>
      <c r="H26" s="7">
        <v>132320</v>
      </c>
      <c r="I26" s="6" t="s">
        <v>56</v>
      </c>
      <c r="J26" s="6" t="s">
        <v>16</v>
      </c>
      <c r="K26" s="6" t="s">
        <v>24</v>
      </c>
      <c r="L26" s="6" t="s">
        <v>18</v>
      </c>
      <c r="M26" s="6" t="s">
        <v>69</v>
      </c>
      <c r="N26" s="6" t="s">
        <v>21</v>
      </c>
    </row>
    <row r="27" spans="1:14" x14ac:dyDescent="0.2">
      <c r="A27" s="6" t="s">
        <v>70</v>
      </c>
      <c r="B27" s="6" t="s">
        <v>71</v>
      </c>
      <c r="C27" s="6">
        <v>399</v>
      </c>
      <c r="D27" s="5"/>
      <c r="E27" s="5"/>
      <c r="F27" s="5" t="str">
        <f t="shared" si="0"/>
        <v>(, )</v>
      </c>
      <c r="G27" s="7">
        <v>45111</v>
      </c>
      <c r="H27" s="7">
        <v>45145</v>
      </c>
      <c r="I27" s="6" t="s">
        <v>41</v>
      </c>
      <c r="J27" s="6" t="s">
        <v>16</v>
      </c>
      <c r="K27" s="6" t="s">
        <v>17</v>
      </c>
      <c r="L27" s="6" t="s">
        <v>25</v>
      </c>
      <c r="M27" s="6" t="s">
        <v>26</v>
      </c>
      <c r="N27" s="6" t="s">
        <v>20</v>
      </c>
    </row>
    <row r="28" spans="1:14" x14ac:dyDescent="0.2">
      <c r="A28" s="6" t="s">
        <v>72</v>
      </c>
      <c r="B28" s="6" t="s">
        <v>73</v>
      </c>
      <c r="C28" s="6">
        <v>404</v>
      </c>
      <c r="D28" s="5"/>
      <c r="E28" s="5"/>
      <c r="F28" s="5" t="str">
        <f t="shared" si="0"/>
        <v>(, )</v>
      </c>
      <c r="G28" s="7">
        <v>45140</v>
      </c>
      <c r="H28" s="7">
        <v>132320</v>
      </c>
      <c r="I28" s="6" t="s">
        <v>74</v>
      </c>
      <c r="J28" s="6" t="s">
        <v>16</v>
      </c>
      <c r="K28" s="6" t="s">
        <v>24</v>
      </c>
      <c r="L28" s="6" t="s">
        <v>18</v>
      </c>
      <c r="M28" s="6" t="s">
        <v>69</v>
      </c>
      <c r="N28" s="6" t="s">
        <v>21</v>
      </c>
    </row>
    <row r="29" spans="1:14" x14ac:dyDescent="0.2">
      <c r="A29" s="6" t="s">
        <v>75</v>
      </c>
      <c r="B29" s="6" t="s">
        <v>73</v>
      </c>
      <c r="C29" s="6">
        <v>404</v>
      </c>
      <c r="D29" s="5"/>
      <c r="E29" s="5"/>
      <c r="F29" s="5" t="str">
        <f t="shared" si="0"/>
        <v>(, )</v>
      </c>
      <c r="G29" s="7">
        <v>45111</v>
      </c>
      <c r="H29" s="7">
        <v>45140</v>
      </c>
      <c r="I29" s="6" t="s">
        <v>74</v>
      </c>
      <c r="J29" s="6" t="s">
        <v>16</v>
      </c>
      <c r="K29" s="6" t="s">
        <v>24</v>
      </c>
      <c r="L29" s="6" t="s">
        <v>18</v>
      </c>
      <c r="M29" s="6" t="s">
        <v>69</v>
      </c>
      <c r="N29" s="6" t="s">
        <v>20</v>
      </c>
    </row>
    <row r="30" spans="1:14" x14ac:dyDescent="0.2">
      <c r="A30" s="6" t="s">
        <v>76</v>
      </c>
      <c r="B30" s="6" t="s">
        <v>77</v>
      </c>
      <c r="C30" s="6">
        <v>405</v>
      </c>
      <c r="D30" s="5"/>
      <c r="E30" s="5"/>
      <c r="F30" s="5" t="str">
        <f t="shared" si="0"/>
        <v>(, )</v>
      </c>
      <c r="G30" s="7">
        <v>45140</v>
      </c>
      <c r="H30" s="7">
        <v>132320</v>
      </c>
      <c r="I30" s="6" t="s">
        <v>74</v>
      </c>
      <c r="J30" s="6" t="s">
        <v>23</v>
      </c>
      <c r="K30" s="6" t="s">
        <v>24</v>
      </c>
      <c r="L30" s="6" t="s">
        <v>38</v>
      </c>
      <c r="M30" s="6" t="s">
        <v>19</v>
      </c>
      <c r="N30" s="6" t="s">
        <v>20</v>
      </c>
    </row>
    <row r="31" spans="1:14" x14ac:dyDescent="0.2">
      <c r="A31" s="6" t="s">
        <v>78</v>
      </c>
      <c r="B31" s="6" t="s">
        <v>77</v>
      </c>
      <c r="C31" s="6">
        <v>405</v>
      </c>
      <c r="D31" s="5"/>
      <c r="E31" s="5"/>
      <c r="F31" s="5" t="str">
        <f t="shared" si="0"/>
        <v>(, )</v>
      </c>
      <c r="G31" s="7">
        <v>45111</v>
      </c>
      <c r="H31" s="7">
        <v>45140</v>
      </c>
      <c r="I31" s="6" t="s">
        <v>74</v>
      </c>
      <c r="J31" s="6" t="s">
        <v>23</v>
      </c>
      <c r="K31" s="6" t="s">
        <v>24</v>
      </c>
      <c r="L31" s="6" t="s">
        <v>38</v>
      </c>
      <c r="M31" s="6" t="s">
        <v>19</v>
      </c>
      <c r="N31" s="6" t="s">
        <v>20</v>
      </c>
    </row>
    <row r="32" spans="1:14" x14ac:dyDescent="0.2">
      <c r="A32" s="6" t="s">
        <v>79</v>
      </c>
      <c r="B32" s="6" t="s">
        <v>80</v>
      </c>
      <c r="C32" s="6">
        <v>408</v>
      </c>
      <c r="D32" s="5"/>
      <c r="E32" s="5"/>
      <c r="F32" s="5" t="str">
        <f t="shared" si="0"/>
        <v>(, )</v>
      </c>
      <c r="G32" s="7">
        <v>45140</v>
      </c>
      <c r="H32" s="7">
        <v>45393</v>
      </c>
      <c r="I32" s="6" t="s">
        <v>41</v>
      </c>
      <c r="J32" s="6" t="s">
        <v>16</v>
      </c>
      <c r="K32" s="6" t="s">
        <v>24</v>
      </c>
      <c r="L32" s="6" t="s">
        <v>18</v>
      </c>
      <c r="M32" s="6" t="s">
        <v>32</v>
      </c>
      <c r="N32" s="6" t="s">
        <v>20</v>
      </c>
    </row>
    <row r="33" spans="1:14" x14ac:dyDescent="0.2">
      <c r="A33" s="6" t="s">
        <v>81</v>
      </c>
      <c r="B33" s="6" t="s">
        <v>80</v>
      </c>
      <c r="C33" s="6">
        <v>408</v>
      </c>
      <c r="D33" s="5"/>
      <c r="E33" s="5"/>
      <c r="F33" s="5" t="str">
        <f t="shared" si="0"/>
        <v>(, )</v>
      </c>
      <c r="G33" s="7">
        <v>45083</v>
      </c>
      <c r="H33" s="7">
        <v>45108</v>
      </c>
      <c r="I33" s="6" t="s">
        <v>15</v>
      </c>
      <c r="J33" s="6" t="s">
        <v>16</v>
      </c>
      <c r="K33" s="6" t="s">
        <v>24</v>
      </c>
      <c r="L33" s="6" t="s">
        <v>18</v>
      </c>
      <c r="M33" s="6" t="s">
        <v>32</v>
      </c>
      <c r="N33" s="6" t="s">
        <v>20</v>
      </c>
    </row>
    <row r="34" spans="1:14" x14ac:dyDescent="0.2">
      <c r="A34" s="6" t="s">
        <v>82</v>
      </c>
      <c r="B34" s="6" t="s">
        <v>80</v>
      </c>
      <c r="C34" s="6">
        <v>408</v>
      </c>
      <c r="D34" s="5"/>
      <c r="E34" s="5"/>
      <c r="F34" s="5" t="str">
        <f t="shared" si="0"/>
        <v>(, )</v>
      </c>
      <c r="G34" s="7">
        <v>45111</v>
      </c>
      <c r="H34" s="7">
        <v>45140</v>
      </c>
      <c r="I34" s="6" t="s">
        <v>41</v>
      </c>
      <c r="J34" s="6" t="s">
        <v>16</v>
      </c>
      <c r="K34" s="6" t="s">
        <v>17</v>
      </c>
      <c r="L34" s="6" t="s">
        <v>18</v>
      </c>
      <c r="M34" s="6" t="s">
        <v>32</v>
      </c>
      <c r="N34" s="6" t="s">
        <v>20</v>
      </c>
    </row>
    <row r="35" spans="1:14" x14ac:dyDescent="0.2">
      <c r="A35" s="6" t="s">
        <v>83</v>
      </c>
      <c r="B35" s="6" t="s">
        <v>84</v>
      </c>
      <c r="C35" s="6">
        <v>410</v>
      </c>
      <c r="D35" s="5"/>
      <c r="E35" s="5"/>
      <c r="F35" s="5" t="str">
        <f t="shared" si="0"/>
        <v>(, )</v>
      </c>
      <c r="G35" s="7">
        <v>45111</v>
      </c>
      <c r="H35" s="7">
        <v>45145</v>
      </c>
      <c r="I35" s="6" t="s">
        <v>56</v>
      </c>
      <c r="J35" s="6" t="s">
        <v>16</v>
      </c>
      <c r="K35" s="6" t="s">
        <v>24</v>
      </c>
      <c r="L35" s="6" t="s">
        <v>18</v>
      </c>
      <c r="M35" s="6" t="s">
        <v>85</v>
      </c>
      <c r="N35" s="6" t="s">
        <v>20</v>
      </c>
    </row>
    <row r="36" spans="1:14" x14ac:dyDescent="0.2">
      <c r="A36" s="6" t="s">
        <v>86</v>
      </c>
      <c r="B36" s="6" t="s">
        <v>84</v>
      </c>
      <c r="C36" s="6">
        <v>410</v>
      </c>
      <c r="D36" s="5"/>
      <c r="E36" s="5"/>
      <c r="F36" s="5" t="str">
        <f t="shared" si="0"/>
        <v>(, )</v>
      </c>
      <c r="G36" s="7">
        <v>45145</v>
      </c>
      <c r="H36" s="7">
        <v>45393</v>
      </c>
      <c r="I36" s="6" t="s">
        <v>15</v>
      </c>
      <c r="J36" s="6" t="s">
        <v>23</v>
      </c>
      <c r="K36" s="6" t="s">
        <v>17</v>
      </c>
      <c r="L36" s="6" t="s">
        <v>38</v>
      </c>
      <c r="M36" s="6" t="s">
        <v>69</v>
      </c>
      <c r="N36" s="6" t="s">
        <v>20</v>
      </c>
    </row>
    <row r="37" spans="1:14" x14ac:dyDescent="0.2">
      <c r="A37" s="6" t="s">
        <v>87</v>
      </c>
      <c r="B37" s="6" t="s">
        <v>88</v>
      </c>
      <c r="C37" s="6">
        <v>414</v>
      </c>
      <c r="D37" s="5"/>
      <c r="E37" s="5"/>
      <c r="F37" s="5" t="str">
        <f t="shared" si="0"/>
        <v>(, )</v>
      </c>
      <c r="G37" s="7">
        <v>45111</v>
      </c>
      <c r="H37" s="7">
        <v>132320</v>
      </c>
      <c r="I37" s="6" t="s">
        <v>15</v>
      </c>
      <c r="J37" s="6" t="s">
        <v>16</v>
      </c>
      <c r="K37" s="6" t="s">
        <v>17</v>
      </c>
      <c r="L37" s="6" t="s">
        <v>18</v>
      </c>
      <c r="M37" s="6" t="s">
        <v>19</v>
      </c>
      <c r="N37" s="6" t="s">
        <v>21</v>
      </c>
    </row>
    <row r="38" spans="1:14" x14ac:dyDescent="0.2">
      <c r="A38" s="6" t="s">
        <v>35</v>
      </c>
      <c r="B38" s="6" t="s">
        <v>89</v>
      </c>
      <c r="C38" s="6">
        <v>415</v>
      </c>
      <c r="D38" s="5"/>
      <c r="E38" s="5"/>
      <c r="F38" s="5" t="str">
        <f t="shared" si="0"/>
        <v>(, )</v>
      </c>
      <c r="G38" s="7">
        <v>45799</v>
      </c>
      <c r="H38" s="7">
        <v>132297</v>
      </c>
      <c r="I38" s="6" t="s">
        <v>15</v>
      </c>
      <c r="J38" s="6" t="s">
        <v>23</v>
      </c>
      <c r="K38" s="6" t="s">
        <v>17</v>
      </c>
      <c r="L38" s="6" t="s">
        <v>25</v>
      </c>
      <c r="M38" s="6" t="s">
        <v>26</v>
      </c>
      <c r="N38" s="6" t="s">
        <v>21</v>
      </c>
    </row>
    <row r="39" spans="1:14" x14ac:dyDescent="0.2">
      <c r="A39" s="6" t="s">
        <v>90</v>
      </c>
      <c r="B39" s="6" t="s">
        <v>89</v>
      </c>
      <c r="C39" s="6">
        <v>415</v>
      </c>
      <c r="D39" s="5"/>
      <c r="E39" s="5"/>
      <c r="F39" s="5" t="str">
        <f t="shared" si="0"/>
        <v>(, )</v>
      </c>
      <c r="G39" s="7">
        <v>45096</v>
      </c>
      <c r="H39" s="7">
        <v>45370</v>
      </c>
      <c r="I39" s="6" t="s">
        <v>15</v>
      </c>
      <c r="J39" s="6" t="s">
        <v>23</v>
      </c>
      <c r="K39" s="6" t="s">
        <v>24</v>
      </c>
      <c r="L39" s="6" t="s">
        <v>38</v>
      </c>
      <c r="M39" s="6" t="s">
        <v>91</v>
      </c>
      <c r="N39" s="6" t="s">
        <v>20</v>
      </c>
    </row>
    <row r="40" spans="1:14" x14ac:dyDescent="0.2">
      <c r="A40" s="6" t="s">
        <v>92</v>
      </c>
      <c r="B40" s="6" t="s">
        <v>93</v>
      </c>
      <c r="C40" s="6">
        <v>416</v>
      </c>
      <c r="D40" s="5"/>
      <c r="E40" s="5"/>
      <c r="F40" s="5" t="str">
        <f t="shared" si="0"/>
        <v>(, )</v>
      </c>
      <c r="G40" s="7">
        <v>45111</v>
      </c>
      <c r="H40" s="7">
        <v>45140</v>
      </c>
      <c r="I40" s="6" t="s">
        <v>41</v>
      </c>
      <c r="J40" s="6" t="s">
        <v>16</v>
      </c>
      <c r="K40" s="6" t="s">
        <v>24</v>
      </c>
      <c r="L40" s="6" t="s">
        <v>25</v>
      </c>
      <c r="M40" s="6" t="s">
        <v>19</v>
      </c>
      <c r="N40" s="6" t="s">
        <v>20</v>
      </c>
    </row>
    <row r="41" spans="1:14" x14ac:dyDescent="0.2">
      <c r="A41" s="6" t="s">
        <v>94</v>
      </c>
      <c r="B41" s="6" t="s">
        <v>93</v>
      </c>
      <c r="C41" s="6">
        <v>416</v>
      </c>
      <c r="D41" s="5"/>
      <c r="E41" s="5"/>
      <c r="F41" s="5" t="str">
        <f t="shared" si="0"/>
        <v>(, )</v>
      </c>
      <c r="G41" s="7">
        <v>45140</v>
      </c>
      <c r="H41" s="7">
        <v>132320</v>
      </c>
      <c r="I41" s="6" t="s">
        <v>41</v>
      </c>
      <c r="J41" s="6" t="s">
        <v>16</v>
      </c>
      <c r="K41" s="6" t="s">
        <v>17</v>
      </c>
      <c r="L41" s="6" t="s">
        <v>25</v>
      </c>
      <c r="M41" s="6" t="s">
        <v>19</v>
      </c>
      <c r="N41" s="6" t="s">
        <v>21</v>
      </c>
    </row>
    <row r="42" spans="1:14" x14ac:dyDescent="0.2">
      <c r="A42" s="6" t="s">
        <v>95</v>
      </c>
      <c r="B42" s="6" t="s">
        <v>96</v>
      </c>
      <c r="C42" s="6">
        <v>418</v>
      </c>
      <c r="D42" s="5"/>
      <c r="E42" s="5"/>
      <c r="F42" s="5" t="str">
        <f t="shared" si="0"/>
        <v>(, )</v>
      </c>
      <c r="G42" s="7">
        <v>45140</v>
      </c>
      <c r="H42" s="7">
        <v>132320</v>
      </c>
      <c r="I42" s="6" t="s">
        <v>74</v>
      </c>
      <c r="J42" s="6" t="s">
        <v>16</v>
      </c>
      <c r="K42" s="6" t="s">
        <v>24</v>
      </c>
      <c r="L42" s="6" t="s">
        <v>18</v>
      </c>
      <c r="M42" s="6" t="s">
        <v>32</v>
      </c>
      <c r="N42" s="6" t="s">
        <v>21</v>
      </c>
    </row>
    <row r="43" spans="1:14" x14ac:dyDescent="0.2">
      <c r="A43" s="6" t="s">
        <v>97</v>
      </c>
      <c r="B43" s="6" t="s">
        <v>96</v>
      </c>
      <c r="C43" s="6">
        <v>418</v>
      </c>
      <c r="D43" s="5"/>
      <c r="E43" s="5"/>
      <c r="F43" s="5" t="str">
        <f t="shared" si="0"/>
        <v>(, )</v>
      </c>
      <c r="G43" s="7">
        <v>45111</v>
      </c>
      <c r="H43" s="7">
        <v>45140</v>
      </c>
      <c r="I43" s="6" t="s">
        <v>74</v>
      </c>
      <c r="J43" s="6" t="s">
        <v>16</v>
      </c>
      <c r="K43" s="6" t="s">
        <v>24</v>
      </c>
      <c r="L43" s="6" t="s">
        <v>18</v>
      </c>
      <c r="M43" s="6" t="s">
        <v>32</v>
      </c>
      <c r="N43" s="6" t="s">
        <v>20</v>
      </c>
    </row>
    <row r="44" spans="1:14" x14ac:dyDescent="0.2">
      <c r="A44" s="6" t="s">
        <v>98</v>
      </c>
      <c r="B44" s="6" t="s">
        <v>99</v>
      </c>
      <c r="C44" s="6">
        <v>112</v>
      </c>
      <c r="D44" s="5"/>
      <c r="E44" s="5"/>
      <c r="F44" s="5" t="str">
        <f t="shared" si="0"/>
        <v>(, )</v>
      </c>
      <c r="G44" s="7">
        <v>44662</v>
      </c>
      <c r="H44" s="7">
        <v>45140</v>
      </c>
      <c r="I44" s="6" t="s">
        <v>31</v>
      </c>
      <c r="J44" s="6" t="s">
        <v>16</v>
      </c>
      <c r="K44" s="6" t="s">
        <v>100</v>
      </c>
      <c r="L44" s="6" t="s">
        <v>18</v>
      </c>
      <c r="M44" s="6" t="s">
        <v>19</v>
      </c>
      <c r="N44" s="6" t="s">
        <v>20</v>
      </c>
    </row>
    <row r="45" spans="1:14" x14ac:dyDescent="0.2">
      <c r="A45" s="6" t="s">
        <v>101</v>
      </c>
      <c r="B45" s="6" t="s">
        <v>99</v>
      </c>
      <c r="C45" s="6">
        <v>112</v>
      </c>
      <c r="D45" s="5"/>
      <c r="E45" s="5"/>
      <c r="F45" s="5" t="str">
        <f t="shared" si="0"/>
        <v>(, )</v>
      </c>
      <c r="G45" s="7">
        <v>45145</v>
      </c>
      <c r="H45" s="7">
        <v>45658</v>
      </c>
      <c r="I45" s="6" t="s">
        <v>15</v>
      </c>
      <c r="J45" s="6" t="s">
        <v>16</v>
      </c>
      <c r="K45" s="6" t="s">
        <v>17</v>
      </c>
      <c r="L45" s="6" t="s">
        <v>18</v>
      </c>
      <c r="M45" s="6" t="s">
        <v>19</v>
      </c>
      <c r="N45" s="6" t="s">
        <v>20</v>
      </c>
    </row>
  </sheetData>
  <autoFilter ref="G1:G45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276C7-901C-8747-AA8A-263552EEDD86}">
  <dimension ref="A1:O11"/>
  <sheetViews>
    <sheetView workbookViewId="0">
      <selection activeCell="E34" sqref="E34"/>
    </sheetView>
  </sheetViews>
  <sheetFormatPr baseColWidth="10" defaultRowHeight="15" x14ac:dyDescent="0.2"/>
  <cols>
    <col min="1" max="1" width="24.1640625" customWidth="1"/>
    <col min="2" max="2" width="11.5" bestFit="1" customWidth="1"/>
    <col min="3" max="3" width="11.5" customWidth="1"/>
    <col min="4" max="5" width="23.33203125" style="10" customWidth="1"/>
    <col min="6" max="6" width="36.5" customWidth="1"/>
    <col min="7" max="7" width="37.83203125" bestFit="1" customWidth="1"/>
    <col min="8" max="8" width="14" bestFit="1" customWidth="1"/>
    <col min="9" max="9" width="16.33203125" bestFit="1" customWidth="1"/>
    <col min="10" max="10" width="10" bestFit="1" customWidth="1"/>
    <col min="11" max="11" width="11.6640625" bestFit="1" customWidth="1"/>
    <col min="12" max="12" width="14" bestFit="1" customWidth="1"/>
    <col min="13" max="13" width="15.83203125" bestFit="1" customWidth="1"/>
    <col min="14" max="14" width="11.33203125" bestFit="1" customWidth="1"/>
    <col min="15" max="15" width="15.1640625" customWidth="1"/>
  </cols>
  <sheetData>
    <row r="1" spans="1:15" x14ac:dyDescent="0.2">
      <c r="A1" s="1" t="s">
        <v>0</v>
      </c>
      <c r="B1" s="1" t="s">
        <v>1</v>
      </c>
      <c r="C1" s="1" t="s">
        <v>12</v>
      </c>
      <c r="D1" s="8" t="s">
        <v>102</v>
      </c>
      <c r="E1" s="8" t="s">
        <v>103</v>
      </c>
      <c r="F1" s="1" t="s">
        <v>135</v>
      </c>
      <c r="G1" s="1" t="s">
        <v>104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</row>
    <row r="2" spans="1:15" x14ac:dyDescent="0.2">
      <c r="A2" s="5" t="s">
        <v>105</v>
      </c>
      <c r="B2" s="5"/>
      <c r="C2" s="5"/>
      <c r="D2" s="9" t="s">
        <v>115</v>
      </c>
      <c r="E2" s="9" t="s">
        <v>116</v>
      </c>
      <c r="F2" s="5" t="str">
        <f xml:space="preserve"> "(" &amp; SUBSTITUTE(D2, ",", ".") &amp; ", " &amp; SUBSTITUTE(E2, ",", ".") &amp; ")"</f>
        <v>(52.17184864238036, 4.491621851921082)</v>
      </c>
      <c r="G2" s="11" t="s">
        <v>136</v>
      </c>
      <c r="H2" s="5"/>
      <c r="I2" s="5"/>
      <c r="J2" s="5"/>
      <c r="K2" s="5"/>
      <c r="L2" s="5"/>
      <c r="M2" s="5"/>
      <c r="N2" s="5"/>
      <c r="O2" s="5"/>
    </row>
    <row r="3" spans="1:15" x14ac:dyDescent="0.2">
      <c r="A3" s="5" t="s">
        <v>106</v>
      </c>
      <c r="B3" s="5"/>
      <c r="C3" s="5"/>
      <c r="D3" s="9" t="s">
        <v>117</v>
      </c>
      <c r="E3" s="9" t="s">
        <v>118</v>
      </c>
      <c r="F3" s="5" t="str">
        <f t="shared" ref="F3:F11" si="0" xml:space="preserve"> "(" &amp; SUBSTITUTE(D3, ",", ".") &amp; ", " &amp; SUBSTITUTE(E3, ",", ".") &amp; ")"</f>
        <v>(52.15939090039548, 4.499016702175141)</v>
      </c>
      <c r="G3" s="11" t="s">
        <v>137</v>
      </c>
      <c r="H3" s="5"/>
      <c r="I3" s="5"/>
      <c r="J3" s="5"/>
      <c r="K3" s="5"/>
      <c r="L3" s="5"/>
      <c r="M3" s="5"/>
      <c r="N3" s="5"/>
      <c r="O3" s="5"/>
    </row>
    <row r="4" spans="1:15" x14ac:dyDescent="0.2">
      <c r="A4" s="5" t="s">
        <v>107</v>
      </c>
      <c r="B4" s="5"/>
      <c r="C4" s="5"/>
      <c r="D4" s="9" t="s">
        <v>119</v>
      </c>
      <c r="E4" s="9" t="s">
        <v>120</v>
      </c>
      <c r="F4" s="5" t="str">
        <f t="shared" si="0"/>
        <v>(52.15185886689011, 4.491552114486695)</v>
      </c>
      <c r="G4" s="11" t="s">
        <v>138</v>
      </c>
      <c r="H4" s="5"/>
      <c r="I4" s="5"/>
      <c r="J4" s="5"/>
      <c r="K4" s="5"/>
      <c r="L4" s="5"/>
      <c r="M4" s="5"/>
      <c r="N4" s="5"/>
      <c r="O4" s="5"/>
    </row>
    <row r="5" spans="1:15" x14ac:dyDescent="0.2">
      <c r="A5" s="5" t="s">
        <v>108</v>
      </c>
      <c r="B5" s="5"/>
      <c r="C5" s="5"/>
      <c r="D5" s="9" t="s">
        <v>121</v>
      </c>
      <c r="E5" s="9" t="s">
        <v>122</v>
      </c>
      <c r="F5" s="5" t="str">
        <f t="shared" si="0"/>
        <v>(52.14727171823178, 4.446818232536317)</v>
      </c>
      <c r="G5" s="11" t="s">
        <v>139</v>
      </c>
      <c r="H5" s="5"/>
      <c r="I5" s="5"/>
      <c r="J5" s="5"/>
      <c r="K5" s="5"/>
      <c r="L5" s="5"/>
      <c r="M5" s="5"/>
      <c r="N5" s="5"/>
      <c r="O5" s="5"/>
    </row>
    <row r="6" spans="1:15" x14ac:dyDescent="0.2">
      <c r="A6" s="5" t="s">
        <v>109</v>
      </c>
      <c r="B6" s="5"/>
      <c r="C6" s="5"/>
      <c r="D6" s="9" t="s">
        <v>123</v>
      </c>
      <c r="E6" s="9" t="s">
        <v>124</v>
      </c>
      <c r="F6" s="5" t="str">
        <f t="shared" si="0"/>
        <v>(52.15940199412685, 4.4511714577674875)</v>
      </c>
      <c r="G6" s="11" t="s">
        <v>140</v>
      </c>
      <c r="H6" s="5"/>
      <c r="I6" s="5"/>
      <c r="J6" s="5"/>
      <c r="K6" s="5"/>
      <c r="L6" s="5"/>
      <c r="M6" s="5"/>
      <c r="N6" s="5"/>
      <c r="O6" s="5"/>
    </row>
    <row r="7" spans="1:15" x14ac:dyDescent="0.2">
      <c r="A7" s="5" t="s">
        <v>110</v>
      </c>
      <c r="B7" s="5"/>
      <c r="C7" s="5"/>
      <c r="D7" s="9" t="s">
        <v>125</v>
      </c>
      <c r="E7" s="9" t="s">
        <v>126</v>
      </c>
      <c r="F7" s="5" t="str">
        <f t="shared" si="0"/>
        <v>(52.143043108582724, 4.477859437465669)</v>
      </c>
      <c r="G7" s="11" t="s">
        <v>141</v>
      </c>
      <c r="H7" s="5"/>
      <c r="I7" s="5"/>
      <c r="J7" s="5"/>
      <c r="K7" s="5"/>
      <c r="L7" s="5"/>
      <c r="M7" s="5"/>
      <c r="N7" s="5"/>
      <c r="O7" s="5"/>
    </row>
    <row r="8" spans="1:15" x14ac:dyDescent="0.2">
      <c r="A8" s="5" t="s">
        <v>111</v>
      </c>
      <c r="B8" s="5"/>
      <c r="C8" s="5"/>
      <c r="D8" s="9" t="s">
        <v>127</v>
      </c>
      <c r="E8" s="9" t="s">
        <v>128</v>
      </c>
      <c r="F8" s="5" t="str">
        <f t="shared" si="0"/>
        <v>(52.16178157625613, 4.4823575019836435)</v>
      </c>
      <c r="G8" s="11" t="s">
        <v>142</v>
      </c>
      <c r="H8" s="5"/>
      <c r="I8" s="5"/>
      <c r="J8" s="5"/>
      <c r="K8" s="5"/>
      <c r="L8" s="5"/>
      <c r="M8" s="5"/>
      <c r="N8" s="5"/>
      <c r="O8" s="5"/>
    </row>
    <row r="9" spans="1:15" x14ac:dyDescent="0.2">
      <c r="A9" s="5" t="s">
        <v>112</v>
      </c>
      <c r="B9" s="5"/>
      <c r="C9" s="5"/>
      <c r="D9" s="9" t="s">
        <v>129</v>
      </c>
      <c r="E9" s="9" t="s">
        <v>130</v>
      </c>
      <c r="F9" s="5" t="str">
        <f t="shared" si="0"/>
        <v>(52.166002807050205, 4.495401084423066)</v>
      </c>
      <c r="G9" s="11" t="s">
        <v>143</v>
      </c>
      <c r="H9" s="5"/>
      <c r="I9" s="5"/>
      <c r="J9" s="5"/>
      <c r="K9" s="5"/>
      <c r="L9" s="5"/>
      <c r="M9" s="5"/>
      <c r="N9" s="5"/>
      <c r="O9" s="5"/>
    </row>
    <row r="10" spans="1:15" x14ac:dyDescent="0.2">
      <c r="A10" s="5" t="s">
        <v>113</v>
      </c>
      <c r="B10" s="5"/>
      <c r="C10" s="5"/>
      <c r="D10" s="9" t="s">
        <v>131</v>
      </c>
      <c r="E10" s="9" t="s">
        <v>132</v>
      </c>
      <c r="F10" s="5" t="str">
        <f t="shared" si="0"/>
        <v>(52.17853619213568, 4.497281312942506)</v>
      </c>
      <c r="G10" s="11" t="s">
        <v>144</v>
      </c>
      <c r="H10" s="5"/>
      <c r="I10" s="5"/>
      <c r="J10" s="5"/>
      <c r="K10" s="5"/>
      <c r="L10" s="5"/>
      <c r="M10" s="5"/>
      <c r="N10" s="5"/>
      <c r="O10" s="5"/>
    </row>
    <row r="11" spans="1:15" x14ac:dyDescent="0.2">
      <c r="A11" s="5" t="s">
        <v>114</v>
      </c>
      <c r="B11" s="5"/>
      <c r="C11" s="5"/>
      <c r="D11" s="9" t="s">
        <v>133</v>
      </c>
      <c r="E11" s="9" t="s">
        <v>134</v>
      </c>
      <c r="F11" s="5" t="str">
        <f t="shared" si="0"/>
        <v>(52.16103454824992, 4.492775201797486)</v>
      </c>
      <c r="G11" s="11" t="s">
        <v>145</v>
      </c>
      <c r="H11" s="5"/>
      <c r="I11" s="5"/>
      <c r="J11" s="5"/>
      <c r="K11" s="5"/>
      <c r="L11" s="5"/>
      <c r="M11" s="5"/>
      <c r="N11" s="5"/>
      <c r="O11" s="5"/>
    </row>
  </sheetData>
  <hyperlinks>
    <hyperlink ref="G2" r:id="rId1" xr:uid="{FC8627FD-C208-C742-A963-C8FE78CDFAF0}"/>
    <hyperlink ref="G3" r:id="rId2" xr:uid="{34299BE9-6595-D547-868F-DBD6F8D61C35}"/>
    <hyperlink ref="G4" r:id="rId3" xr:uid="{806FEDCB-7B03-8D4E-A014-044AD976C654}"/>
    <hyperlink ref="G5" r:id="rId4" xr:uid="{05B1B3B8-534F-DC4A-B47C-828A2090BC1C}"/>
    <hyperlink ref="G6" r:id="rId5" xr:uid="{AFE01500-A32F-EA49-BD46-A712D37732A5}"/>
    <hyperlink ref="G7" r:id="rId6" xr:uid="{DE86CB37-4AE8-D84C-956C-C9C77AEC028B}"/>
    <hyperlink ref="G8" r:id="rId7" xr:uid="{2882EFAC-9294-034D-9874-286481239CA3}"/>
    <hyperlink ref="G9" r:id="rId8" xr:uid="{D39B585F-C4DC-0D4F-A7B5-F9D2EC4A1A24}"/>
    <hyperlink ref="G10" r:id="rId9" xr:uid="{9FC33E4E-ED2D-4144-A9A0-295878A012B3}"/>
    <hyperlink ref="G11" r:id="rId10" xr:uid="{FE78472E-B8F1-3B43-A1B9-32A4434261F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948A9-6D8C-714F-BC87-D20B6ECB9939}">
  <sheetPr filterMode="1"/>
  <dimension ref="A1:M45"/>
  <sheetViews>
    <sheetView workbookViewId="0">
      <selection activeCell="N53" sqref="N53"/>
    </sheetView>
  </sheetViews>
  <sheetFormatPr baseColWidth="10" defaultColWidth="8.83203125" defaultRowHeight="15" x14ac:dyDescent="0.2"/>
  <cols>
    <col min="1" max="1" width="28.33203125" bestFit="1" customWidth="1"/>
    <col min="2" max="2" width="12.6640625" bestFit="1" customWidth="1"/>
    <col min="3" max="3" width="18.1640625" bestFit="1" customWidth="1"/>
    <col min="4" max="4" width="18.33203125" bestFit="1" customWidth="1"/>
    <col min="5" max="5" width="13.5" bestFit="1" customWidth="1"/>
    <col min="6" max="6" width="12.83203125" bestFit="1" customWidth="1"/>
    <col min="7" max="7" width="15.5" bestFit="1" customWidth="1"/>
    <col min="8" max="8" width="18.6640625" customWidth="1"/>
    <col min="9" max="9" width="21.1640625" bestFit="1" customWidth="1"/>
    <col min="10" max="10" width="12.6640625" customWidth="1"/>
    <col min="11" max="11" width="15.33203125" bestFit="1" customWidth="1"/>
    <col min="12" max="12" width="16.33203125" bestFit="1" customWidth="1"/>
    <col min="13" max="13" width="10.8320312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idden="1" x14ac:dyDescent="0.2">
      <c r="A2" t="s">
        <v>13</v>
      </c>
      <c r="B2" t="s">
        <v>14</v>
      </c>
      <c r="C2" s="2">
        <v>44589</v>
      </c>
      <c r="D2" s="2">
        <v>45070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14</v>
      </c>
      <c r="M2">
        <v>93</v>
      </c>
    </row>
    <row r="3" spans="1:13" hidden="1" x14ac:dyDescent="0.2">
      <c r="A3" t="s">
        <v>22</v>
      </c>
      <c r="B3" t="s">
        <v>14</v>
      </c>
      <c r="C3" s="2">
        <v>45111</v>
      </c>
      <c r="D3" s="2">
        <v>132320</v>
      </c>
      <c r="E3" t="s">
        <v>15</v>
      </c>
      <c r="F3" t="s">
        <v>23</v>
      </c>
      <c r="G3" t="s">
        <v>24</v>
      </c>
      <c r="H3" t="s">
        <v>25</v>
      </c>
      <c r="I3" t="s">
        <v>26</v>
      </c>
      <c r="J3" t="s">
        <v>20</v>
      </c>
      <c r="K3" t="s">
        <v>20</v>
      </c>
      <c r="L3" t="s">
        <v>14</v>
      </c>
      <c r="M3">
        <v>93</v>
      </c>
    </row>
    <row r="4" spans="1:13" hidden="1" x14ac:dyDescent="0.2">
      <c r="A4" t="s">
        <v>27</v>
      </c>
      <c r="B4" t="s">
        <v>28</v>
      </c>
      <c r="C4" s="2">
        <v>45111</v>
      </c>
      <c r="D4" s="2">
        <v>45145</v>
      </c>
      <c r="E4" t="s">
        <v>15</v>
      </c>
      <c r="F4" t="s">
        <v>23</v>
      </c>
      <c r="G4" t="s">
        <v>24</v>
      </c>
      <c r="H4" t="s">
        <v>18</v>
      </c>
      <c r="I4" t="s">
        <v>26</v>
      </c>
      <c r="J4" t="s">
        <v>20</v>
      </c>
      <c r="K4" t="s">
        <v>21</v>
      </c>
      <c r="L4" t="s">
        <v>28</v>
      </c>
      <c r="M4">
        <v>54</v>
      </c>
    </row>
    <row r="5" spans="1:13" hidden="1" x14ac:dyDescent="0.2">
      <c r="A5" t="s">
        <v>29</v>
      </c>
      <c r="B5" t="s">
        <v>28</v>
      </c>
      <c r="C5" s="2">
        <v>45145</v>
      </c>
      <c r="D5" s="2">
        <v>132320</v>
      </c>
      <c r="E5" t="s">
        <v>15</v>
      </c>
      <c r="F5" t="s">
        <v>23</v>
      </c>
      <c r="G5" t="s">
        <v>17</v>
      </c>
      <c r="H5" t="s">
        <v>18</v>
      </c>
      <c r="I5" t="s">
        <v>26</v>
      </c>
      <c r="J5" t="s">
        <v>20</v>
      </c>
      <c r="K5" t="s">
        <v>20</v>
      </c>
      <c r="L5" t="s">
        <v>28</v>
      </c>
      <c r="M5">
        <v>54</v>
      </c>
    </row>
    <row r="6" spans="1:13" hidden="1" x14ac:dyDescent="0.2">
      <c r="A6" t="s">
        <v>30</v>
      </c>
      <c r="B6" t="s">
        <v>28</v>
      </c>
      <c r="C6" s="2">
        <v>44589</v>
      </c>
      <c r="D6" s="2">
        <v>45047</v>
      </c>
      <c r="E6" t="s">
        <v>31</v>
      </c>
      <c r="F6" t="s">
        <v>16</v>
      </c>
      <c r="G6" t="s">
        <v>17</v>
      </c>
      <c r="H6" t="s">
        <v>25</v>
      </c>
      <c r="I6" t="s">
        <v>32</v>
      </c>
      <c r="J6" t="s">
        <v>20</v>
      </c>
      <c r="K6" t="s">
        <v>21</v>
      </c>
      <c r="L6" t="s">
        <v>28</v>
      </c>
      <c r="M6">
        <v>54</v>
      </c>
    </row>
    <row r="7" spans="1:13" hidden="1" x14ac:dyDescent="0.2">
      <c r="A7" t="s">
        <v>33</v>
      </c>
      <c r="B7" t="s">
        <v>34</v>
      </c>
      <c r="C7" s="2">
        <v>44594</v>
      </c>
      <c r="D7" s="2">
        <v>45047</v>
      </c>
      <c r="E7" t="s">
        <v>15</v>
      </c>
      <c r="F7" t="s">
        <v>16</v>
      </c>
      <c r="G7" t="s">
        <v>17</v>
      </c>
      <c r="H7" t="s">
        <v>25</v>
      </c>
      <c r="I7" t="s">
        <v>32</v>
      </c>
      <c r="J7" t="s">
        <v>20</v>
      </c>
      <c r="K7" t="s">
        <v>21</v>
      </c>
      <c r="L7" t="s">
        <v>34</v>
      </c>
      <c r="M7">
        <v>208</v>
      </c>
    </row>
    <row r="8" spans="1:13" hidden="1" x14ac:dyDescent="0.2">
      <c r="A8" s="4" t="s">
        <v>35</v>
      </c>
      <c r="B8" s="4" t="s">
        <v>34</v>
      </c>
      <c r="C8" s="3">
        <v>45120</v>
      </c>
      <c r="D8" s="3">
        <v>45393</v>
      </c>
      <c r="E8" t="s">
        <v>15</v>
      </c>
      <c r="F8" t="s">
        <v>23</v>
      </c>
      <c r="G8" t="s">
        <v>17</v>
      </c>
      <c r="H8" t="s">
        <v>25</v>
      </c>
      <c r="I8" t="s">
        <v>26</v>
      </c>
      <c r="J8" t="s">
        <v>20</v>
      </c>
      <c r="K8" t="s">
        <v>20</v>
      </c>
      <c r="L8" t="s">
        <v>34</v>
      </c>
      <c r="M8">
        <v>208</v>
      </c>
    </row>
    <row r="9" spans="1:13" x14ac:dyDescent="0.2">
      <c r="A9" t="s">
        <v>36</v>
      </c>
      <c r="B9" t="s">
        <v>37</v>
      </c>
      <c r="C9" s="2">
        <v>45111</v>
      </c>
      <c r="D9" s="2">
        <v>132320</v>
      </c>
      <c r="E9" t="s">
        <v>15</v>
      </c>
      <c r="F9" t="s">
        <v>23</v>
      </c>
      <c r="G9" t="s">
        <v>24</v>
      </c>
      <c r="H9" t="s">
        <v>38</v>
      </c>
      <c r="I9" t="s">
        <v>26</v>
      </c>
      <c r="J9" t="s">
        <v>21</v>
      </c>
      <c r="K9" t="s">
        <v>20</v>
      </c>
      <c r="L9" t="s">
        <v>37</v>
      </c>
      <c r="M9">
        <v>356</v>
      </c>
    </row>
    <row r="10" spans="1:13" hidden="1" x14ac:dyDescent="0.2">
      <c r="A10" t="s">
        <v>39</v>
      </c>
      <c r="B10" t="s">
        <v>40</v>
      </c>
      <c r="C10" s="2">
        <v>45111</v>
      </c>
      <c r="D10" s="2">
        <v>45140</v>
      </c>
      <c r="E10" t="s">
        <v>41</v>
      </c>
      <c r="F10" t="s">
        <v>16</v>
      </c>
      <c r="G10" t="s">
        <v>24</v>
      </c>
      <c r="H10" t="s">
        <v>38</v>
      </c>
      <c r="I10" t="s">
        <v>42</v>
      </c>
      <c r="J10" t="s">
        <v>20</v>
      </c>
      <c r="K10" t="s">
        <v>21</v>
      </c>
      <c r="L10" t="s">
        <v>40</v>
      </c>
      <c r="M10">
        <v>360</v>
      </c>
    </row>
    <row r="11" spans="1:13" hidden="1" x14ac:dyDescent="0.2">
      <c r="A11" t="s">
        <v>43</v>
      </c>
      <c r="B11" t="s">
        <v>40</v>
      </c>
      <c r="C11" s="2">
        <v>45140</v>
      </c>
      <c r="D11" s="2">
        <v>45788</v>
      </c>
      <c r="E11" t="s">
        <v>41</v>
      </c>
      <c r="F11" t="s">
        <v>16</v>
      </c>
      <c r="G11" t="s">
        <v>17</v>
      </c>
      <c r="H11" t="s">
        <v>38</v>
      </c>
      <c r="I11" t="s">
        <v>42</v>
      </c>
      <c r="J11" t="s">
        <v>20</v>
      </c>
      <c r="K11" t="s">
        <v>20</v>
      </c>
      <c r="L11" t="s">
        <v>40</v>
      </c>
      <c r="M11">
        <v>360</v>
      </c>
    </row>
    <row r="12" spans="1:13" x14ac:dyDescent="0.2">
      <c r="A12" t="s">
        <v>44</v>
      </c>
      <c r="B12" t="s">
        <v>40</v>
      </c>
      <c r="C12" s="2">
        <v>45799</v>
      </c>
      <c r="D12" s="2">
        <v>132321</v>
      </c>
      <c r="E12" t="s">
        <v>41</v>
      </c>
      <c r="F12" t="s">
        <v>16</v>
      </c>
      <c r="G12" t="s">
        <v>17</v>
      </c>
      <c r="H12" t="s">
        <v>38</v>
      </c>
      <c r="I12" t="s">
        <v>42</v>
      </c>
      <c r="J12" t="s">
        <v>21</v>
      </c>
      <c r="K12" t="s">
        <v>20</v>
      </c>
      <c r="L12" t="s">
        <v>40</v>
      </c>
      <c r="M12">
        <v>360</v>
      </c>
    </row>
    <row r="13" spans="1:13" x14ac:dyDescent="0.2">
      <c r="A13" t="s">
        <v>45</v>
      </c>
      <c r="B13" t="s">
        <v>46</v>
      </c>
      <c r="C13" s="2">
        <v>45111</v>
      </c>
      <c r="D13" s="2">
        <v>132320</v>
      </c>
      <c r="E13" t="s">
        <v>41</v>
      </c>
      <c r="F13" t="s">
        <v>16</v>
      </c>
      <c r="G13" t="s">
        <v>17</v>
      </c>
      <c r="H13" t="s">
        <v>18</v>
      </c>
      <c r="I13" t="s">
        <v>19</v>
      </c>
      <c r="J13" t="s">
        <v>21</v>
      </c>
      <c r="K13" t="s">
        <v>20</v>
      </c>
      <c r="L13" t="s">
        <v>46</v>
      </c>
      <c r="M13">
        <v>361</v>
      </c>
    </row>
    <row r="14" spans="1:13" hidden="1" x14ac:dyDescent="0.2">
      <c r="A14" t="s">
        <v>47</v>
      </c>
      <c r="B14" t="s">
        <v>46</v>
      </c>
      <c r="C14" s="2">
        <v>45069</v>
      </c>
      <c r="D14" s="2">
        <v>45111</v>
      </c>
      <c r="E14" t="s">
        <v>41</v>
      </c>
      <c r="F14" t="s">
        <v>16</v>
      </c>
      <c r="G14" t="s">
        <v>17</v>
      </c>
      <c r="H14" t="s">
        <v>18</v>
      </c>
      <c r="I14" t="s">
        <v>19</v>
      </c>
      <c r="J14" t="s">
        <v>20</v>
      </c>
      <c r="K14" t="s">
        <v>21</v>
      </c>
      <c r="L14" t="s">
        <v>46</v>
      </c>
      <c r="M14">
        <v>361</v>
      </c>
    </row>
    <row r="15" spans="1:13" hidden="1" x14ac:dyDescent="0.2">
      <c r="A15" t="s">
        <v>48</v>
      </c>
      <c r="B15" t="s">
        <v>49</v>
      </c>
      <c r="C15" s="2">
        <v>45111</v>
      </c>
      <c r="D15" s="2">
        <v>45393</v>
      </c>
      <c r="E15" t="s">
        <v>15</v>
      </c>
      <c r="F15" t="s">
        <v>16</v>
      </c>
      <c r="G15" t="s">
        <v>17</v>
      </c>
      <c r="H15" t="s">
        <v>25</v>
      </c>
      <c r="I15" t="s">
        <v>32</v>
      </c>
      <c r="J15" t="s">
        <v>20</v>
      </c>
      <c r="K15" t="s">
        <v>20</v>
      </c>
      <c r="L15" t="s">
        <v>49</v>
      </c>
      <c r="M15">
        <v>362</v>
      </c>
    </row>
    <row r="16" spans="1:13" hidden="1" x14ac:dyDescent="0.2">
      <c r="A16" t="s">
        <v>50</v>
      </c>
      <c r="B16" t="s">
        <v>49</v>
      </c>
      <c r="C16" s="2">
        <v>45111</v>
      </c>
      <c r="D16" s="2">
        <v>45111</v>
      </c>
      <c r="E16" t="s">
        <v>31</v>
      </c>
      <c r="F16" t="s">
        <v>16</v>
      </c>
      <c r="G16" t="s">
        <v>24</v>
      </c>
      <c r="H16" t="s">
        <v>18</v>
      </c>
      <c r="I16" t="s">
        <v>32</v>
      </c>
      <c r="J16" t="s">
        <v>20</v>
      </c>
      <c r="K16" t="s">
        <v>21</v>
      </c>
      <c r="L16" t="s">
        <v>49</v>
      </c>
      <c r="M16">
        <v>362</v>
      </c>
    </row>
    <row r="17" spans="1:13" x14ac:dyDescent="0.2">
      <c r="A17" t="s">
        <v>51</v>
      </c>
      <c r="B17" t="s">
        <v>52</v>
      </c>
      <c r="C17" s="2">
        <v>45111</v>
      </c>
      <c r="D17" s="2">
        <v>132320</v>
      </c>
      <c r="E17" t="s">
        <v>15</v>
      </c>
      <c r="F17" t="s">
        <v>16</v>
      </c>
      <c r="G17" t="s">
        <v>17</v>
      </c>
      <c r="H17" t="s">
        <v>38</v>
      </c>
      <c r="I17" t="s">
        <v>19</v>
      </c>
      <c r="J17" t="s">
        <v>21</v>
      </c>
      <c r="K17" t="s">
        <v>20</v>
      </c>
      <c r="L17" t="s">
        <v>52</v>
      </c>
      <c r="M17">
        <v>369</v>
      </c>
    </row>
    <row r="18" spans="1:13" x14ac:dyDescent="0.2">
      <c r="A18" t="s">
        <v>53</v>
      </c>
      <c r="B18" t="s">
        <v>54</v>
      </c>
      <c r="C18" s="2">
        <v>45145</v>
      </c>
      <c r="D18" s="2">
        <v>132320</v>
      </c>
      <c r="E18" t="s">
        <v>15</v>
      </c>
      <c r="F18" t="s">
        <v>23</v>
      </c>
      <c r="G18" t="s">
        <v>17</v>
      </c>
      <c r="H18" t="s">
        <v>38</v>
      </c>
      <c r="I18" t="s">
        <v>26</v>
      </c>
      <c r="J18" t="s">
        <v>21</v>
      </c>
      <c r="K18" t="s">
        <v>20</v>
      </c>
      <c r="L18" t="s">
        <v>54</v>
      </c>
      <c r="M18">
        <v>395</v>
      </c>
    </row>
    <row r="19" spans="1:13" hidden="1" x14ac:dyDescent="0.2">
      <c r="A19" t="s">
        <v>55</v>
      </c>
      <c r="B19" t="s">
        <v>54</v>
      </c>
      <c r="C19" s="2">
        <v>45111</v>
      </c>
      <c r="D19" s="2">
        <v>45145</v>
      </c>
      <c r="E19" t="s">
        <v>56</v>
      </c>
      <c r="F19" t="s">
        <v>16</v>
      </c>
      <c r="G19" t="s">
        <v>24</v>
      </c>
      <c r="H19" t="s">
        <v>25</v>
      </c>
      <c r="I19" t="s">
        <v>26</v>
      </c>
      <c r="J19" t="s">
        <v>20</v>
      </c>
      <c r="K19" t="s">
        <v>21</v>
      </c>
      <c r="L19" t="s">
        <v>54</v>
      </c>
      <c r="M19">
        <v>395</v>
      </c>
    </row>
    <row r="20" spans="1:13" x14ac:dyDescent="0.2">
      <c r="A20" t="s">
        <v>57</v>
      </c>
      <c r="B20" t="s">
        <v>58</v>
      </c>
      <c r="C20" s="2">
        <v>45145</v>
      </c>
      <c r="D20" s="2">
        <v>132320</v>
      </c>
      <c r="E20" t="s">
        <v>15</v>
      </c>
      <c r="F20" t="s">
        <v>23</v>
      </c>
      <c r="G20" t="s">
        <v>17</v>
      </c>
      <c r="H20" t="s">
        <v>38</v>
      </c>
      <c r="I20" t="s">
        <v>26</v>
      </c>
      <c r="J20" t="s">
        <v>21</v>
      </c>
      <c r="K20" t="s">
        <v>20</v>
      </c>
      <c r="L20" t="s">
        <v>58</v>
      </c>
      <c r="M20">
        <v>372</v>
      </c>
    </row>
    <row r="21" spans="1:13" hidden="1" x14ac:dyDescent="0.2">
      <c r="A21" t="s">
        <v>59</v>
      </c>
      <c r="B21" t="s">
        <v>58</v>
      </c>
      <c r="C21" s="2">
        <v>45111</v>
      </c>
      <c r="D21" s="2">
        <v>45145</v>
      </c>
      <c r="E21" t="s">
        <v>56</v>
      </c>
      <c r="F21" t="s">
        <v>16</v>
      </c>
      <c r="G21" t="s">
        <v>24</v>
      </c>
      <c r="H21" t="s">
        <v>18</v>
      </c>
      <c r="I21" t="s">
        <v>26</v>
      </c>
      <c r="J21" t="s">
        <v>20</v>
      </c>
      <c r="K21" t="s">
        <v>21</v>
      </c>
      <c r="L21" t="s">
        <v>58</v>
      </c>
      <c r="M21">
        <v>372</v>
      </c>
    </row>
    <row r="22" spans="1:13" hidden="1" x14ac:dyDescent="0.2">
      <c r="A22" t="s">
        <v>60</v>
      </c>
      <c r="B22" t="s">
        <v>61</v>
      </c>
      <c r="C22" s="2">
        <v>45145</v>
      </c>
      <c r="D22" s="2">
        <v>45393</v>
      </c>
      <c r="E22" t="s">
        <v>15</v>
      </c>
      <c r="F22" t="s">
        <v>23</v>
      </c>
      <c r="G22" t="s">
        <v>17</v>
      </c>
      <c r="H22" t="s">
        <v>38</v>
      </c>
      <c r="I22" t="s">
        <v>26</v>
      </c>
      <c r="J22" t="s">
        <v>20</v>
      </c>
      <c r="K22" t="s">
        <v>20</v>
      </c>
      <c r="L22" t="s">
        <v>61</v>
      </c>
      <c r="M22">
        <v>400</v>
      </c>
    </row>
    <row r="23" spans="1:13" hidden="1" x14ac:dyDescent="0.2">
      <c r="A23" t="s">
        <v>62</v>
      </c>
      <c r="B23" t="s">
        <v>61</v>
      </c>
      <c r="C23" s="2">
        <v>45111</v>
      </c>
      <c r="D23" s="2">
        <v>45145</v>
      </c>
      <c r="E23" t="s">
        <v>56</v>
      </c>
      <c r="F23" t="s">
        <v>16</v>
      </c>
      <c r="G23" t="s">
        <v>24</v>
      </c>
      <c r="H23" t="s">
        <v>18</v>
      </c>
      <c r="I23" t="s">
        <v>26</v>
      </c>
      <c r="J23" t="s">
        <v>20</v>
      </c>
      <c r="K23" t="s">
        <v>21</v>
      </c>
      <c r="L23" t="s">
        <v>61</v>
      </c>
      <c r="M23">
        <v>400</v>
      </c>
    </row>
    <row r="24" spans="1:13" hidden="1" x14ac:dyDescent="0.2">
      <c r="A24" t="s">
        <v>63</v>
      </c>
      <c r="B24" t="s">
        <v>64</v>
      </c>
      <c r="C24" s="2">
        <v>45111</v>
      </c>
      <c r="D24" s="2">
        <v>45393</v>
      </c>
      <c r="E24" t="s">
        <v>15</v>
      </c>
      <c r="F24" t="s">
        <v>16</v>
      </c>
      <c r="G24" t="s">
        <v>24</v>
      </c>
      <c r="H24" t="s">
        <v>38</v>
      </c>
      <c r="I24" t="s">
        <v>26</v>
      </c>
      <c r="J24" t="s">
        <v>20</v>
      </c>
      <c r="K24" t="s">
        <v>20</v>
      </c>
      <c r="L24" t="s">
        <v>64</v>
      </c>
      <c r="M24">
        <v>401</v>
      </c>
    </row>
    <row r="25" spans="1:13" hidden="1" x14ac:dyDescent="0.2">
      <c r="A25" t="s">
        <v>65</v>
      </c>
      <c r="B25" t="s">
        <v>66</v>
      </c>
      <c r="C25" s="2">
        <v>45111</v>
      </c>
      <c r="D25" s="2">
        <v>45393</v>
      </c>
      <c r="E25" t="s">
        <v>15</v>
      </c>
      <c r="F25" t="s">
        <v>16</v>
      </c>
      <c r="G25" t="s">
        <v>24</v>
      </c>
      <c r="H25" t="s">
        <v>25</v>
      </c>
      <c r="I25" t="s">
        <v>32</v>
      </c>
      <c r="J25" t="s">
        <v>20</v>
      </c>
      <c r="K25" t="s">
        <v>20</v>
      </c>
      <c r="L25" t="s">
        <v>66</v>
      </c>
      <c r="M25">
        <v>396</v>
      </c>
    </row>
    <row r="26" spans="1:13" x14ac:dyDescent="0.2">
      <c r="A26" t="s">
        <v>67</v>
      </c>
      <c r="B26" t="s">
        <v>68</v>
      </c>
      <c r="C26" s="2">
        <v>45111</v>
      </c>
      <c r="D26" s="2">
        <v>132320</v>
      </c>
      <c r="E26" t="s">
        <v>56</v>
      </c>
      <c r="F26" t="s">
        <v>16</v>
      </c>
      <c r="G26" t="s">
        <v>24</v>
      </c>
      <c r="H26" t="s">
        <v>18</v>
      </c>
      <c r="I26" t="s">
        <v>69</v>
      </c>
      <c r="J26" t="s">
        <v>21</v>
      </c>
      <c r="K26" t="s">
        <v>20</v>
      </c>
      <c r="L26" t="s">
        <v>68</v>
      </c>
      <c r="M26">
        <v>397</v>
      </c>
    </row>
    <row r="27" spans="1:13" hidden="1" x14ac:dyDescent="0.2">
      <c r="A27" s="4" t="s">
        <v>70</v>
      </c>
      <c r="B27" s="4" t="s">
        <v>71</v>
      </c>
      <c r="C27" s="3">
        <v>45111</v>
      </c>
      <c r="D27" s="3">
        <v>45145</v>
      </c>
      <c r="E27" t="s">
        <v>41</v>
      </c>
      <c r="F27" t="s">
        <v>16</v>
      </c>
      <c r="G27" t="s">
        <v>17</v>
      </c>
      <c r="H27" t="s">
        <v>25</v>
      </c>
      <c r="I27" t="s">
        <v>26</v>
      </c>
      <c r="J27" t="s">
        <v>20</v>
      </c>
      <c r="K27" t="s">
        <v>21</v>
      </c>
      <c r="L27" t="s">
        <v>71</v>
      </c>
      <c r="M27">
        <v>399</v>
      </c>
    </row>
    <row r="28" spans="1:13" x14ac:dyDescent="0.2">
      <c r="A28" t="s">
        <v>72</v>
      </c>
      <c r="B28" t="s">
        <v>73</v>
      </c>
      <c r="C28" s="2">
        <v>45140</v>
      </c>
      <c r="D28" s="2">
        <v>132320</v>
      </c>
      <c r="E28" t="s">
        <v>74</v>
      </c>
      <c r="F28" t="s">
        <v>16</v>
      </c>
      <c r="G28" t="s">
        <v>24</v>
      </c>
      <c r="H28" t="s">
        <v>18</v>
      </c>
      <c r="I28" t="s">
        <v>69</v>
      </c>
      <c r="J28" t="s">
        <v>21</v>
      </c>
      <c r="K28" t="s">
        <v>20</v>
      </c>
      <c r="L28" t="s">
        <v>73</v>
      </c>
      <c r="M28">
        <v>404</v>
      </c>
    </row>
    <row r="29" spans="1:13" hidden="1" x14ac:dyDescent="0.2">
      <c r="A29" t="s">
        <v>75</v>
      </c>
      <c r="B29" t="s">
        <v>73</v>
      </c>
      <c r="C29" s="2">
        <v>45111</v>
      </c>
      <c r="D29" s="2">
        <v>45140</v>
      </c>
      <c r="E29" t="s">
        <v>74</v>
      </c>
      <c r="F29" t="s">
        <v>16</v>
      </c>
      <c r="G29" t="s">
        <v>24</v>
      </c>
      <c r="H29" t="s">
        <v>18</v>
      </c>
      <c r="I29" t="s">
        <v>69</v>
      </c>
      <c r="J29" t="s">
        <v>20</v>
      </c>
      <c r="K29" t="s">
        <v>21</v>
      </c>
      <c r="L29" t="s">
        <v>73</v>
      </c>
      <c r="M29">
        <v>404</v>
      </c>
    </row>
    <row r="30" spans="1:13" hidden="1" x14ac:dyDescent="0.2">
      <c r="A30" t="s">
        <v>76</v>
      </c>
      <c r="B30" t="s">
        <v>77</v>
      </c>
      <c r="C30" s="2">
        <v>45140</v>
      </c>
      <c r="D30" s="2">
        <v>132320</v>
      </c>
      <c r="E30" t="s">
        <v>74</v>
      </c>
      <c r="F30" t="s">
        <v>23</v>
      </c>
      <c r="G30" t="s">
        <v>24</v>
      </c>
      <c r="H30" t="s">
        <v>38</v>
      </c>
      <c r="I30" t="s">
        <v>19</v>
      </c>
      <c r="J30" t="s">
        <v>20</v>
      </c>
      <c r="K30" t="s">
        <v>20</v>
      </c>
      <c r="L30" t="s">
        <v>77</v>
      </c>
      <c r="M30">
        <v>405</v>
      </c>
    </row>
    <row r="31" spans="1:13" hidden="1" x14ac:dyDescent="0.2">
      <c r="A31" t="s">
        <v>78</v>
      </c>
      <c r="B31" t="s">
        <v>77</v>
      </c>
      <c r="C31" s="2">
        <v>45111</v>
      </c>
      <c r="D31" s="2">
        <v>45140</v>
      </c>
      <c r="E31" t="s">
        <v>74</v>
      </c>
      <c r="F31" t="s">
        <v>23</v>
      </c>
      <c r="G31" t="s">
        <v>24</v>
      </c>
      <c r="H31" t="s">
        <v>38</v>
      </c>
      <c r="I31" t="s">
        <v>19</v>
      </c>
      <c r="J31" t="s">
        <v>20</v>
      </c>
      <c r="K31" t="s">
        <v>21</v>
      </c>
      <c r="L31" t="s">
        <v>77</v>
      </c>
      <c r="M31">
        <v>405</v>
      </c>
    </row>
    <row r="32" spans="1:13" hidden="1" x14ac:dyDescent="0.2">
      <c r="A32" t="s">
        <v>79</v>
      </c>
      <c r="B32" t="s">
        <v>80</v>
      </c>
      <c r="C32" s="2">
        <v>45140</v>
      </c>
      <c r="D32" s="2">
        <v>45393</v>
      </c>
      <c r="E32" t="s">
        <v>41</v>
      </c>
      <c r="F32" t="s">
        <v>16</v>
      </c>
      <c r="G32" t="s">
        <v>24</v>
      </c>
      <c r="H32" t="s">
        <v>18</v>
      </c>
      <c r="I32" t="s">
        <v>32</v>
      </c>
      <c r="J32" t="s">
        <v>20</v>
      </c>
      <c r="K32" t="s">
        <v>20</v>
      </c>
      <c r="L32" t="s">
        <v>80</v>
      </c>
      <c r="M32">
        <v>408</v>
      </c>
    </row>
    <row r="33" spans="1:13" hidden="1" x14ac:dyDescent="0.2">
      <c r="A33" t="s">
        <v>81</v>
      </c>
      <c r="B33" t="s">
        <v>80</v>
      </c>
      <c r="C33" s="2">
        <v>45083</v>
      </c>
      <c r="D33" s="2">
        <v>45108</v>
      </c>
      <c r="E33" t="s">
        <v>15</v>
      </c>
      <c r="F33" t="s">
        <v>16</v>
      </c>
      <c r="G33" t="s">
        <v>24</v>
      </c>
      <c r="H33" t="s">
        <v>18</v>
      </c>
      <c r="I33" t="s">
        <v>32</v>
      </c>
      <c r="J33" t="s">
        <v>20</v>
      </c>
      <c r="K33" t="s">
        <v>21</v>
      </c>
      <c r="L33" t="s">
        <v>80</v>
      </c>
      <c r="M33">
        <v>408</v>
      </c>
    </row>
    <row r="34" spans="1:13" hidden="1" x14ac:dyDescent="0.2">
      <c r="A34" t="s">
        <v>82</v>
      </c>
      <c r="B34" t="s">
        <v>80</v>
      </c>
      <c r="C34" s="2">
        <v>45111</v>
      </c>
      <c r="D34" s="2">
        <v>45140</v>
      </c>
      <c r="E34" t="s">
        <v>41</v>
      </c>
      <c r="F34" t="s">
        <v>16</v>
      </c>
      <c r="G34" t="s">
        <v>17</v>
      </c>
      <c r="H34" t="s">
        <v>18</v>
      </c>
      <c r="I34" t="s">
        <v>32</v>
      </c>
      <c r="J34" t="s">
        <v>20</v>
      </c>
      <c r="K34" t="s">
        <v>21</v>
      </c>
      <c r="L34" t="s">
        <v>80</v>
      </c>
      <c r="M34">
        <v>408</v>
      </c>
    </row>
    <row r="35" spans="1:13" hidden="1" x14ac:dyDescent="0.2">
      <c r="A35" t="s">
        <v>83</v>
      </c>
      <c r="B35" t="s">
        <v>84</v>
      </c>
      <c r="C35" s="2">
        <v>45111</v>
      </c>
      <c r="D35" s="2">
        <v>45145</v>
      </c>
      <c r="E35" t="s">
        <v>56</v>
      </c>
      <c r="F35" t="s">
        <v>16</v>
      </c>
      <c r="G35" t="s">
        <v>24</v>
      </c>
      <c r="H35" t="s">
        <v>18</v>
      </c>
      <c r="I35" t="s">
        <v>85</v>
      </c>
      <c r="J35" t="s">
        <v>20</v>
      </c>
      <c r="K35" t="s">
        <v>21</v>
      </c>
      <c r="L35" t="s">
        <v>84</v>
      </c>
      <c r="M35">
        <v>410</v>
      </c>
    </row>
    <row r="36" spans="1:13" hidden="1" x14ac:dyDescent="0.2">
      <c r="A36" t="s">
        <v>86</v>
      </c>
      <c r="B36" t="s">
        <v>84</v>
      </c>
      <c r="C36" s="2">
        <v>45145</v>
      </c>
      <c r="D36" s="2">
        <v>45393</v>
      </c>
      <c r="E36" t="s">
        <v>15</v>
      </c>
      <c r="F36" t="s">
        <v>23</v>
      </c>
      <c r="G36" t="s">
        <v>17</v>
      </c>
      <c r="H36" t="s">
        <v>38</v>
      </c>
      <c r="I36" t="s">
        <v>69</v>
      </c>
      <c r="J36" t="s">
        <v>20</v>
      </c>
      <c r="K36" t="s">
        <v>20</v>
      </c>
      <c r="L36" t="s">
        <v>84</v>
      </c>
      <c r="M36">
        <v>410</v>
      </c>
    </row>
    <row r="37" spans="1:13" x14ac:dyDescent="0.2">
      <c r="A37" t="s">
        <v>87</v>
      </c>
      <c r="B37" t="s">
        <v>88</v>
      </c>
      <c r="C37" s="2">
        <v>45111</v>
      </c>
      <c r="D37" s="2">
        <v>132320</v>
      </c>
      <c r="E37" t="s">
        <v>15</v>
      </c>
      <c r="F37" t="s">
        <v>16</v>
      </c>
      <c r="G37" t="s">
        <v>17</v>
      </c>
      <c r="H37" t="s">
        <v>18</v>
      </c>
      <c r="I37" t="s">
        <v>19</v>
      </c>
      <c r="J37" t="s">
        <v>21</v>
      </c>
      <c r="K37" t="s">
        <v>20</v>
      </c>
      <c r="L37" t="s">
        <v>88</v>
      </c>
      <c r="M37">
        <v>414</v>
      </c>
    </row>
    <row r="38" spans="1:13" x14ac:dyDescent="0.2">
      <c r="A38" t="s">
        <v>35</v>
      </c>
      <c r="B38" t="s">
        <v>89</v>
      </c>
      <c r="C38" s="2">
        <v>45799</v>
      </c>
      <c r="D38" s="2">
        <v>132297</v>
      </c>
      <c r="E38" t="s">
        <v>15</v>
      </c>
      <c r="F38" t="s">
        <v>23</v>
      </c>
      <c r="G38" t="s">
        <v>17</v>
      </c>
      <c r="H38" t="s">
        <v>25</v>
      </c>
      <c r="I38" t="s">
        <v>26</v>
      </c>
      <c r="J38" t="s">
        <v>21</v>
      </c>
      <c r="K38" t="s">
        <v>21</v>
      </c>
      <c r="L38" t="s">
        <v>89</v>
      </c>
      <c r="M38">
        <v>415</v>
      </c>
    </row>
    <row r="39" spans="1:13" hidden="1" x14ac:dyDescent="0.2">
      <c r="A39" t="s">
        <v>90</v>
      </c>
      <c r="B39" t="s">
        <v>89</v>
      </c>
      <c r="C39" s="2">
        <v>45096</v>
      </c>
      <c r="D39" s="2">
        <v>45370</v>
      </c>
      <c r="E39" t="s">
        <v>15</v>
      </c>
      <c r="F39" t="s">
        <v>23</v>
      </c>
      <c r="G39" t="s">
        <v>24</v>
      </c>
      <c r="H39" t="s">
        <v>38</v>
      </c>
      <c r="I39" t="s">
        <v>91</v>
      </c>
      <c r="J39" t="s">
        <v>20</v>
      </c>
      <c r="K39" t="s">
        <v>21</v>
      </c>
      <c r="L39" t="s">
        <v>89</v>
      </c>
      <c r="M39">
        <v>415</v>
      </c>
    </row>
    <row r="40" spans="1:13" hidden="1" x14ac:dyDescent="0.2">
      <c r="A40" t="s">
        <v>92</v>
      </c>
      <c r="B40" t="s">
        <v>93</v>
      </c>
      <c r="C40" s="2">
        <v>45111</v>
      </c>
      <c r="D40" s="2">
        <v>45140</v>
      </c>
      <c r="E40" t="s">
        <v>41</v>
      </c>
      <c r="F40" t="s">
        <v>16</v>
      </c>
      <c r="G40" t="s">
        <v>24</v>
      </c>
      <c r="H40" t="s">
        <v>25</v>
      </c>
      <c r="I40" t="s">
        <v>19</v>
      </c>
      <c r="J40" t="s">
        <v>20</v>
      </c>
      <c r="K40" t="s">
        <v>21</v>
      </c>
      <c r="L40" t="s">
        <v>93</v>
      </c>
      <c r="M40">
        <v>416</v>
      </c>
    </row>
    <row r="41" spans="1:13" x14ac:dyDescent="0.2">
      <c r="A41" t="s">
        <v>94</v>
      </c>
      <c r="B41" t="s">
        <v>93</v>
      </c>
      <c r="C41" s="2">
        <v>45140</v>
      </c>
      <c r="D41" s="2">
        <v>132320</v>
      </c>
      <c r="E41" t="s">
        <v>41</v>
      </c>
      <c r="F41" t="s">
        <v>16</v>
      </c>
      <c r="G41" t="s">
        <v>17</v>
      </c>
      <c r="H41" t="s">
        <v>25</v>
      </c>
      <c r="I41" t="s">
        <v>19</v>
      </c>
      <c r="J41" t="s">
        <v>21</v>
      </c>
      <c r="K41" t="s">
        <v>20</v>
      </c>
      <c r="L41" t="s">
        <v>93</v>
      </c>
      <c r="M41">
        <v>416</v>
      </c>
    </row>
    <row r="42" spans="1:13" x14ac:dyDescent="0.2">
      <c r="A42" t="s">
        <v>95</v>
      </c>
      <c r="B42" t="s">
        <v>96</v>
      </c>
      <c r="C42" s="2">
        <v>45140</v>
      </c>
      <c r="D42" s="2">
        <v>132320</v>
      </c>
      <c r="E42" t="s">
        <v>74</v>
      </c>
      <c r="F42" t="s">
        <v>16</v>
      </c>
      <c r="G42" t="s">
        <v>24</v>
      </c>
      <c r="H42" t="s">
        <v>18</v>
      </c>
      <c r="I42" t="s">
        <v>32</v>
      </c>
      <c r="J42" t="s">
        <v>21</v>
      </c>
      <c r="K42" t="s">
        <v>20</v>
      </c>
      <c r="L42" t="s">
        <v>96</v>
      </c>
      <c r="M42">
        <v>418</v>
      </c>
    </row>
    <row r="43" spans="1:13" hidden="1" x14ac:dyDescent="0.2">
      <c r="A43" t="s">
        <v>97</v>
      </c>
      <c r="B43" t="s">
        <v>96</v>
      </c>
      <c r="C43" s="2">
        <v>45111</v>
      </c>
      <c r="D43" s="2">
        <v>45140</v>
      </c>
      <c r="E43" t="s">
        <v>74</v>
      </c>
      <c r="F43" t="s">
        <v>16</v>
      </c>
      <c r="G43" t="s">
        <v>24</v>
      </c>
      <c r="H43" t="s">
        <v>18</v>
      </c>
      <c r="I43" t="s">
        <v>32</v>
      </c>
      <c r="J43" t="s">
        <v>20</v>
      </c>
      <c r="K43" t="s">
        <v>21</v>
      </c>
      <c r="L43" t="s">
        <v>96</v>
      </c>
      <c r="M43">
        <v>418</v>
      </c>
    </row>
    <row r="44" spans="1:13" hidden="1" x14ac:dyDescent="0.2">
      <c r="A44" t="s">
        <v>98</v>
      </c>
      <c r="B44" t="s">
        <v>99</v>
      </c>
      <c r="C44" s="2">
        <v>44662</v>
      </c>
      <c r="D44" s="2">
        <v>45140</v>
      </c>
      <c r="E44" t="s">
        <v>31</v>
      </c>
      <c r="F44" t="s">
        <v>16</v>
      </c>
      <c r="G44" t="s">
        <v>100</v>
      </c>
      <c r="H44" t="s">
        <v>18</v>
      </c>
      <c r="I44" t="s">
        <v>19</v>
      </c>
      <c r="J44" t="s">
        <v>20</v>
      </c>
      <c r="K44" t="s">
        <v>21</v>
      </c>
      <c r="L44" t="s">
        <v>99</v>
      </c>
      <c r="M44">
        <v>112</v>
      </c>
    </row>
    <row r="45" spans="1:13" hidden="1" x14ac:dyDescent="0.2">
      <c r="A45" t="s">
        <v>101</v>
      </c>
      <c r="B45" t="s">
        <v>99</v>
      </c>
      <c r="C45" s="2">
        <v>45145</v>
      </c>
      <c r="D45" s="2">
        <v>45658</v>
      </c>
      <c r="E45" t="s">
        <v>15</v>
      </c>
      <c r="F45" t="s">
        <v>16</v>
      </c>
      <c r="G45" t="s">
        <v>17</v>
      </c>
      <c r="H45" t="s">
        <v>18</v>
      </c>
      <c r="I45" t="s">
        <v>19</v>
      </c>
      <c r="J45" t="s">
        <v>20</v>
      </c>
      <c r="K45" t="s">
        <v>20</v>
      </c>
      <c r="L45" t="s">
        <v>99</v>
      </c>
      <c r="M45">
        <v>112</v>
      </c>
    </row>
  </sheetData>
  <autoFilter ref="A1:M45" xr:uid="{00000000-0001-0000-0000-000000000000}">
    <filterColumn colId="9">
      <filters>
        <filter val="No"/>
      </filters>
    </filterColumn>
    <sortState xmlns:xlrd2="http://schemas.microsoft.com/office/spreadsheetml/2017/richdata2" ref="A2:M45">
      <sortCondition ref="B1:B45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ec4d0d3-3eeb-49c9-ade5-617a45446d87}" enabled="1" method="Standard" siteId="{30453998-4784-4b0e-bdb0-a8ba14eff4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dim_sensor_fase_1</vt:lpstr>
      <vt:lpstr>dim_sensor_fase_2</vt:lpstr>
      <vt:lpstr>dim_sensor_fase_1 (back-up)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Joram Span</cp:lastModifiedBy>
  <cp:revision/>
  <dcterms:created xsi:type="dcterms:W3CDTF">2024-10-30T09:00:31Z</dcterms:created>
  <dcterms:modified xsi:type="dcterms:W3CDTF">2025-07-16T14:34:43Z</dcterms:modified>
  <cp:category/>
  <cp:contentStatus/>
</cp:coreProperties>
</file>